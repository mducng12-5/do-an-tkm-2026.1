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Đồ án tkm\"/>
    </mc:Choice>
  </mc:AlternateContent>
  <xr:revisionPtr revIDLastSave="0" documentId="13_ncr:1_{FB439C15-D711-4261-A53D-FC2958B3D904}" xr6:coauthVersionLast="47" xr6:coauthVersionMax="47" xr10:uidLastSave="{00000000-0000-0000-0000-000000000000}"/>
  <bookViews>
    <workbookView xWindow="28680" yWindow="-120" windowWidth="29040" windowHeight="15720" activeTab="1" xr2:uid="{75337E03-C337-4BFE-A279-78895F300CE2}"/>
  </bookViews>
  <sheets>
    <sheet name="Sheet2" sheetId="2" r:id="rId1"/>
    <sheet name="Sheet1" sheetId="1" r:id="rId2"/>
  </sheets>
  <definedNames>
    <definedName name="_Toc233408285" localSheetId="1">Sheet1!$A$28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716" i="1" l="1"/>
  <c r="B713" i="1"/>
  <c r="B712" i="1"/>
  <c r="B701" i="1"/>
  <c r="B699" i="1"/>
  <c r="B697" i="1"/>
  <c r="B684" i="1"/>
  <c r="B683" i="1"/>
  <c r="B599" i="1"/>
  <c r="B600" i="1"/>
  <c r="B583" i="1"/>
  <c r="B585" i="1"/>
  <c r="B629" i="1"/>
  <c r="B627" i="1"/>
  <c r="B628" i="1"/>
  <c r="B626" i="1"/>
  <c r="B598" i="1"/>
  <c r="B601" i="1"/>
  <c r="B672" i="1"/>
  <c r="B662" i="1"/>
  <c r="B568" i="1"/>
  <c r="B580" i="1" s="1"/>
  <c r="B552" i="1"/>
  <c r="B554" i="1" s="1"/>
  <c r="B504" i="1"/>
  <c r="B491" i="1"/>
  <c r="B669" i="1" s="1"/>
  <c r="C467" i="1"/>
  <c r="B467" i="1"/>
  <c r="B477" i="1" s="1"/>
  <c r="C465" i="1"/>
  <c r="B465" i="1"/>
  <c r="B481" i="1" s="1"/>
  <c r="B479" i="1" s="1"/>
  <c r="B440" i="1"/>
  <c r="B431" i="1"/>
  <c r="C414" i="1"/>
  <c r="B347" i="1"/>
  <c r="B351" i="1" s="1"/>
  <c r="B298" i="1"/>
  <c r="B286" i="1"/>
  <c r="B290" i="1" s="1"/>
  <c r="B16" i="1"/>
  <c r="B29" i="1" s="1"/>
  <c r="B10" i="1"/>
  <c r="B375" i="1"/>
  <c r="B377" i="1" s="1"/>
  <c r="B275" i="1"/>
  <c r="B300" i="1"/>
  <c r="B353" i="1"/>
  <c r="B330" i="1"/>
  <c r="B314" i="1"/>
  <c r="B326" i="1" s="1"/>
  <c r="B313" i="1"/>
  <c r="B325" i="1" s="1"/>
  <c r="B125" i="1"/>
  <c r="C189" i="1" s="1"/>
  <c r="D168" i="1"/>
  <c r="B309" i="1"/>
  <c r="B311" i="1" s="1"/>
  <c r="B276" i="1"/>
  <c r="B273" i="1"/>
  <c r="B252" i="1"/>
  <c r="B249" i="1"/>
  <c r="B248" i="1"/>
  <c r="B241" i="1"/>
  <c r="B234" i="1"/>
  <c r="B268" i="1" s="1"/>
  <c r="B233" i="1"/>
  <c r="B267" i="1" s="1"/>
  <c r="B230" i="1"/>
  <c r="B265" i="1" s="1"/>
  <c r="B229" i="1"/>
  <c r="B264" i="1" s="1"/>
  <c r="B74" i="1"/>
  <c r="C192" i="1"/>
  <c r="C74" i="1"/>
  <c r="B77" i="1" s="1"/>
  <c r="B79" i="1" s="1"/>
  <c r="C188" i="1"/>
  <c r="C187" i="1"/>
  <c r="B44" i="1"/>
  <c r="C203" i="1"/>
  <c r="B161" i="1"/>
  <c r="C197" i="1" s="1"/>
  <c r="B120" i="1"/>
  <c r="E64" i="1"/>
  <c r="B19" i="1"/>
  <c r="B7" i="1"/>
  <c r="B35" i="1" s="1"/>
  <c r="B37" i="1" s="1"/>
  <c r="D65" i="1" s="1"/>
  <c r="B102" i="1" s="1"/>
  <c r="B630" i="1" l="1"/>
  <c r="B643" i="1"/>
  <c r="B579" i="1"/>
  <c r="B644" i="1"/>
  <c r="B646" i="1"/>
  <c r="B615" i="1"/>
  <c r="B616" i="1"/>
  <c r="B602" i="1"/>
  <c r="B493" i="1"/>
  <c r="B526" i="1"/>
  <c r="C526" i="1"/>
  <c r="B542" i="1"/>
  <c r="B494" i="1"/>
  <c r="C542" i="1"/>
  <c r="B122" i="1"/>
  <c r="B85" i="1"/>
  <c r="B291" i="1"/>
  <c r="B316" i="1"/>
  <c r="B317" i="1" s="1"/>
  <c r="B39" i="1"/>
  <c r="B41" i="1" s="1"/>
  <c r="B53" i="1" s="1"/>
  <c r="B13" i="1"/>
  <c r="B366" i="1"/>
  <c r="B340" i="1"/>
  <c r="B332" i="1"/>
  <c r="B345" i="1" s="1"/>
  <c r="B322" i="1"/>
  <c r="B319" i="1"/>
  <c r="B320" i="1"/>
  <c r="B323" i="1"/>
  <c r="B271" i="1"/>
  <c r="D356" i="1" s="1"/>
  <c r="B21" i="1"/>
  <c r="B155" i="1"/>
  <c r="B156" i="1"/>
  <c r="C194" i="1" s="1"/>
  <c r="B159" i="1"/>
  <c r="C196" i="1" s="1"/>
  <c r="B31" i="1"/>
  <c r="C191" i="1"/>
  <c r="B127" i="1"/>
  <c r="B133" i="1" s="1"/>
  <c r="B148" i="1" s="1"/>
  <c r="B158" i="1"/>
  <c r="C195" i="1" s="1"/>
  <c r="E65" i="1"/>
  <c r="B75" i="1"/>
  <c r="B66" i="1"/>
  <c r="B588" i="1" l="1"/>
  <c r="B593" i="1" s="1"/>
  <c r="B619" i="1"/>
  <c r="B409" i="1"/>
  <c r="B419" i="1" s="1"/>
  <c r="B486" i="1"/>
  <c r="B487" i="1" s="1"/>
  <c r="B660" i="1"/>
  <c r="B349" i="1"/>
  <c r="B483" i="1"/>
  <c r="B282" i="1"/>
  <c r="B295" i="1"/>
  <c r="D64" i="1"/>
  <c r="B296" i="1"/>
  <c r="B302" i="1"/>
  <c r="C202" i="1"/>
  <c r="B164" i="1"/>
  <c r="C199" i="1" s="1"/>
  <c r="C129" i="1"/>
  <c r="B129" i="1"/>
  <c r="B163" i="1"/>
  <c r="C198" i="1" s="1"/>
  <c r="C193" i="1"/>
  <c r="C190" i="1"/>
  <c r="C65" i="1"/>
  <c r="B46" i="1"/>
  <c r="B48" i="1" s="1"/>
  <c r="B50" i="1" s="1"/>
  <c r="B422" i="1" l="1"/>
  <c r="B415" i="1"/>
  <c r="C66" i="1"/>
  <c r="B67" i="1"/>
  <c r="B65" i="1"/>
  <c r="B55" i="1"/>
  <c r="B631" i="1" s="1"/>
  <c r="B647" i="1" s="1"/>
  <c r="B650" i="1" s="1"/>
  <c r="B590" i="1" l="1"/>
  <c r="B594" i="1" s="1"/>
  <c r="B596" i="1" s="1"/>
  <c r="B498" i="1"/>
  <c r="B506" i="1" s="1"/>
  <c r="B603" i="1"/>
  <c r="B620" i="1" s="1"/>
  <c r="B622" i="1" s="1"/>
  <c r="C67" i="1"/>
  <c r="B285" i="1" s="1"/>
  <c r="B460" i="1"/>
  <c r="B452" i="1"/>
  <c r="B454" i="1" s="1"/>
  <c r="B489" i="1" s="1"/>
  <c r="B668" i="1" s="1"/>
  <c r="B661" i="1"/>
  <c r="B663" i="1" s="1"/>
  <c r="B545" i="1"/>
  <c r="B544" i="1"/>
  <c r="B529" i="1"/>
  <c r="B528" i="1"/>
  <c r="C493" i="1"/>
  <c r="B502" i="1"/>
  <c r="B255" i="1"/>
  <c r="E353" i="1"/>
  <c r="E66" i="1"/>
  <c r="B87" i="1"/>
  <c r="B103" i="1" s="1"/>
  <c r="B57" i="1"/>
  <c r="D67" i="1" s="1"/>
  <c r="D66" i="1"/>
  <c r="B166" i="1" s="1"/>
  <c r="B379" i="1" l="1"/>
  <c r="B398" i="1" s="1"/>
  <c r="B356" i="1"/>
  <c r="B394" i="1" s="1"/>
  <c r="B500" i="1"/>
  <c r="B508" i="1" s="1"/>
  <c r="B510" i="1" s="1"/>
  <c r="B256" i="1"/>
  <c r="B143" i="1"/>
  <c r="B136" i="1"/>
  <c r="B59" i="1"/>
  <c r="E67" i="1" s="1"/>
  <c r="B381" i="1" l="1"/>
  <c r="B399" i="1" s="1"/>
  <c r="B146" i="1"/>
  <c r="B170" i="1" s="1"/>
  <c r="C200" i="1" s="1"/>
  <c r="B147" i="1"/>
  <c r="B180" i="1" l="1"/>
  <c r="C204" i="1" s="1"/>
  <c r="B151" i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2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</futureMetadata>
  <valueMetadata count="2">
    <bk>
      <rc t="1" v="0"/>
    </bk>
    <bk>
      <rc t="1" v="1"/>
    </bk>
  </valueMetadata>
</metadata>
</file>

<file path=xl/sharedStrings.xml><?xml version="1.0" encoding="utf-8"?>
<sst xmlns="http://schemas.openxmlformats.org/spreadsheetml/2006/main" count="639" uniqueCount="542">
  <si>
    <t>Bánh răng trụ răng thẳng</t>
  </si>
  <si>
    <t>Xích</t>
  </si>
  <si>
    <t>va đập vừa</t>
  </si>
  <si>
    <t>Tên đề tài</t>
  </si>
  <si>
    <t>Loại đai/xích đề xuất</t>
  </si>
  <si>
    <t>Lực kéo băng tải (N)</t>
  </si>
  <si>
    <t>Vận tốc băng tải (m/s)</t>
  </si>
  <si>
    <t>Đường kính tang, D mm</t>
  </si>
  <si>
    <t>Thời gian phục vụ (giờ)</t>
  </si>
  <si>
    <t>Số ca làm việc, ca</t>
  </si>
  <si>
    <t>Góc nghiêng đường nối tâm bộ truyền ngoài, độ</t>
  </si>
  <si>
    <t>Đặc tính làm việc</t>
  </si>
  <si>
    <t>P_lv (kW)</t>
  </si>
  <si>
    <t>Hiệu suất bộ truyền</t>
  </si>
  <si>
    <t>n_c</t>
  </si>
  <si>
    <t>n_x (xích)</t>
  </si>
  <si>
    <t>n_k (khớp nối)</t>
  </si>
  <si>
    <t>n_ol (ổ lăn)</t>
  </si>
  <si>
    <t>n_br (bánh răng)</t>
  </si>
  <si>
    <t>Công suất yêu cầu trên trục động cơ</t>
  </si>
  <si>
    <t>(tra bảng 2.3 tr19)</t>
  </si>
  <si>
    <t>Công suất trên trục công tác</t>
  </si>
  <si>
    <t>I. CHỌN ĐỘNG CƠ ĐIỆN VÀ TÍNH TOÁN ĐỘNG HỌC</t>
  </si>
  <si>
    <t>1.1. Chọn động cơ điện</t>
  </si>
  <si>
    <t>Tốc độ quay trên trục công tác</t>
  </si>
  <si>
    <t>n_ct (vòng/phút)</t>
  </si>
  <si>
    <t>Tốc độ quay trên trục động cơ</t>
  </si>
  <si>
    <t>n_đc (vòng/phút)</t>
  </si>
  <si>
    <t>tỉ số truyền hệ thống</t>
  </si>
  <si>
    <t>u_sb</t>
  </si>
  <si>
    <t>tỉ số truyền hộp giảm tốc 1 cấp BR trụ</t>
  </si>
  <si>
    <t>tỉ số truyền xích</t>
  </si>
  <si>
    <t>P_yc (kW)</t>
  </si>
  <si>
    <t>Công suất</t>
  </si>
  <si>
    <t>Vận tốc quay</t>
  </si>
  <si>
    <t>K132M4</t>
  </si>
  <si>
    <t>1.2. Phân phối tỷ số truyền</t>
  </si>
  <si>
    <t>u_c = n_đc/n_ct</t>
  </si>
  <si>
    <t>u_hgt</t>
  </si>
  <si>
    <t>tỷ số truyền của bộ truyền động xích</t>
  </si>
  <si>
    <t>(chọn)</t>
  </si>
  <si>
    <t>1.3. Tính toán thông số các trục</t>
  </si>
  <si>
    <t>1.3.1. Công suất trên các trục</t>
  </si>
  <si>
    <t>Pct = Plv</t>
  </si>
  <si>
    <t>Công suất trên trục thứ cấp (II) của hgt</t>
  </si>
  <si>
    <t>P_II</t>
  </si>
  <si>
    <t>Công suất trên trục sơ cấp (I) của hgt</t>
  </si>
  <si>
    <t>Công suất thực tế trên trục động cơ</t>
  </si>
  <si>
    <t>P_đc</t>
  </si>
  <si>
    <t xml:space="preserve">P_I  </t>
  </si>
  <si>
    <t>1.1.1. Công suất làm việc</t>
  </si>
  <si>
    <t>1.1.2. Hiệu suất hệ dẫn động</t>
  </si>
  <si>
    <t>1.1.3. Công suất cần thiết trên trục động cơ</t>
  </si>
  <si>
    <t>1.1.6. Chọn động cơ</t>
  </si>
  <si>
    <t>Tỷ số truyền chung của hệ thống</t>
  </si>
  <si>
    <t>1.3.2. Tốc độ quay trên các trục</t>
  </si>
  <si>
    <t>1.1.4. Tốc độ quay trên trục công tác</t>
  </si>
  <si>
    <t>1.1.5. Tốc độ quay trên trục động cơ</t>
  </si>
  <si>
    <t>Tốc độ quay trên trục sơ cấp của hộp giảm tốc</t>
  </si>
  <si>
    <t xml:space="preserve">n_I </t>
  </si>
  <si>
    <t>Tốc độ quay trên trục thứ cấp của hộp giảm tốc</t>
  </si>
  <si>
    <t>n_II</t>
  </si>
  <si>
    <t>n_ct</t>
  </si>
  <si>
    <t>1.3.3. Momen xoắn</t>
  </si>
  <si>
    <t>Momen xoắn trên trục động cơ</t>
  </si>
  <si>
    <t>T_đc</t>
  </si>
  <si>
    <t>Momen xoắn trên trục sơ cấp</t>
  </si>
  <si>
    <t>T_I</t>
  </si>
  <si>
    <t>Momen xoắn trên trục thứ cấp</t>
  </si>
  <si>
    <t>T_II</t>
  </si>
  <si>
    <t>Momen xoắn trên trục công tác</t>
  </si>
  <si>
    <t>T_ct</t>
  </si>
  <si>
    <t>Động cơ</t>
  </si>
  <si>
    <t>Trục thứ cấp</t>
  </si>
  <si>
    <t>Trục công tác</t>
  </si>
  <si>
    <t>1.3.4. Bảng thông số đông học</t>
  </si>
  <si>
    <t>Tỷ số truyền u</t>
  </si>
  <si>
    <t>Công suất P (kW)</t>
  </si>
  <si>
    <t>Số vòng quay n (vòng/phút)</t>
  </si>
  <si>
    <t xml:space="preserve">Trục sơ cấp </t>
  </si>
  <si>
    <t>Momen xoắn T (Nmm)</t>
  </si>
  <si>
    <t>II. TÍNH TOÁN THIẾT KẾ BỘ TRUYỀN XÍCH</t>
  </si>
  <si>
    <t>2.1. Chọn loại xích</t>
  </si>
  <si>
    <t>Xích con lăn</t>
  </si>
  <si>
    <t>2.2. Chọn số răng đĩa xích</t>
  </si>
  <si>
    <t xml:space="preserve">Z1 = 29 - 2u_x  </t>
  </si>
  <si>
    <t>chọn</t>
  </si>
  <si>
    <t>Z2 = Z1*u_x</t>
  </si>
  <si>
    <t>Tỷ số truyền thực tế</t>
  </si>
  <si>
    <t>u_t(x)</t>
  </si>
  <si>
    <t>Sai lệch tỉ số truyền</t>
  </si>
  <si>
    <t>delta u</t>
  </si>
  <si>
    <t>accept</t>
  </si>
  <si>
    <t>2.3. Xác định bước xích</t>
  </si>
  <si>
    <t>Công suất tính toán (P_t)</t>
  </si>
  <si>
    <t>Công suất cần truyền (P)</t>
  </si>
  <si>
    <t>Công suất cho phép [P]</t>
  </si>
  <si>
    <t>Hệ số số răng</t>
  </si>
  <si>
    <t>k_z</t>
  </si>
  <si>
    <t>k_n</t>
  </si>
  <si>
    <t>Hệ số kể đến ảnh hưởng của vị trí bộ truyền</t>
  </si>
  <si>
    <t>k0</t>
  </si>
  <si>
    <t>Hệ số kể đến khoảng cách trục và chiều dài xích</t>
  </si>
  <si>
    <t>k_a</t>
  </si>
  <si>
    <t>với a ~ (30-50)p</t>
  </si>
  <si>
    <t>Hệ số kể đến ảnh hưởng của việc điều chỉnh lực căng xích</t>
  </si>
  <si>
    <t>k_đc</t>
  </si>
  <si>
    <t>vị trí trục không điều chỉnh được</t>
  </si>
  <si>
    <t>Hệ số vòng quay</t>
  </si>
  <si>
    <t>Hệ số kể đến ảnh hưởng của bôi trơn</t>
  </si>
  <si>
    <t>k_bt</t>
  </si>
  <si>
    <t>Môi trường làm việc có bụi và đạt yêu cầu</t>
  </si>
  <si>
    <t>Hệ số tải trọng động, kể đến tính chất tải trọng</t>
  </si>
  <si>
    <t>Va đập vừa</t>
  </si>
  <si>
    <t>Hệ số kể đến chế độ làm việc của bộ truyền</t>
  </si>
  <si>
    <t>k_c</t>
  </si>
  <si>
    <t>Làm việc 1 ca</t>
  </si>
  <si>
    <t xml:space="preserve"> </t>
  </si>
  <si>
    <t>Tra bảng 5.6 tr82</t>
  </si>
  <si>
    <t>Bước xích</t>
  </si>
  <si>
    <t>p (mm)</t>
  </si>
  <si>
    <t>Đường kính chốt</t>
  </si>
  <si>
    <t>d_c (mm)</t>
  </si>
  <si>
    <t xml:space="preserve">Chiều dài ống </t>
  </si>
  <si>
    <t>B (mm)</t>
  </si>
  <si>
    <t>Công suất cho phép</t>
  </si>
  <si>
    <t>[P] (kW)</t>
  </si>
  <si>
    <t>2.4. Xác định khoảng cách trục và số mắt xích</t>
  </si>
  <si>
    <t>a = (30-50)p</t>
  </si>
  <si>
    <t>chọn a = 40p</t>
  </si>
  <si>
    <t>a (mm)</t>
  </si>
  <si>
    <t>Số mắt xích</t>
  </si>
  <si>
    <t>Khoảng cách trục</t>
  </si>
  <si>
    <t>x</t>
  </si>
  <si>
    <t>Chọn số mắt xích chẵn</t>
  </si>
  <si>
    <t>Chiều dài xích</t>
  </si>
  <si>
    <t>L (mm)</t>
  </si>
  <si>
    <t>Tính lại khoảng cách trục a theo x_c chẵn</t>
  </si>
  <si>
    <t>a*</t>
  </si>
  <si>
    <t>Để xích không chịu lực căng quá lớn</t>
  </si>
  <si>
    <t>delta a = (0.002~0.004)*a*</t>
  </si>
  <si>
    <t>Chọn delta a</t>
  </si>
  <si>
    <t>a</t>
  </si>
  <si>
    <t xml:space="preserve">Số lần va đập </t>
  </si>
  <si>
    <t>i</t>
  </si>
  <si>
    <t>Tra bảng 5.9 tr85</t>
  </si>
  <si>
    <t>Thỏa mãn</t>
  </si>
  <si>
    <t>2.5. Kiểm nghiệm xích về độ bền</t>
  </si>
  <si>
    <t>Số xích: 1 dãy</t>
  </si>
  <si>
    <t>Kiểm nghiệm về quá tải theo hệ số an toàn</t>
  </si>
  <si>
    <t>Tải trọng phá hỏng (Q)</t>
  </si>
  <si>
    <t>Hệ số tải trọng động (k_đ)</t>
  </si>
  <si>
    <t>Lực vòng (F_t)</t>
  </si>
  <si>
    <t>Lực căng do lực li tâm sinh ra (F_v)</t>
  </si>
  <si>
    <t>Lực căng do trọng lượng nhánh xích bị động sinh ra (F_0)</t>
  </si>
  <si>
    <t>Hệ số an toàn cho phép [s]</t>
  </si>
  <si>
    <t>s</t>
  </si>
  <si>
    <t>tra bảng 5.2 tr78</t>
  </si>
  <si>
    <t>Chế độ làm việc trung bình</t>
  </si>
  <si>
    <t>Khối lượng 1m xích (kg)</t>
  </si>
  <si>
    <t>Vận tốc của trục thứ cấp (m/s)</t>
  </si>
  <si>
    <t>k_f với @ = 60 &gt;40</t>
  </si>
  <si>
    <t>s&gt;[s]</t>
  </si>
  <si>
    <t>2.6. Xác định thông số các đĩa xích</t>
  </si>
  <si>
    <t>Đường kính vòng chia</t>
  </si>
  <si>
    <t>d1 (mm)</t>
  </si>
  <si>
    <t>d2 (mm)</t>
  </si>
  <si>
    <t>Đường kính vòng đỉnh răng</t>
  </si>
  <si>
    <t>d_a1</t>
  </si>
  <si>
    <t>d_a2</t>
  </si>
  <si>
    <t>Bán kính đáy</t>
  </si>
  <si>
    <t>r</t>
  </si>
  <si>
    <t>d_l</t>
  </si>
  <si>
    <t>Đường kính chân răng</t>
  </si>
  <si>
    <t>d_f1</t>
  </si>
  <si>
    <t>d_f2</t>
  </si>
  <si>
    <t>Ứng suất tiếp xúc</t>
  </si>
  <si>
    <t>Lực va đập trên m dãy xích</t>
  </si>
  <si>
    <t>F_vd</t>
  </si>
  <si>
    <t>Hệ số phân bố không đều tải trọng cho các dãy k_đ</t>
  </si>
  <si>
    <t>Module đàn hồi E</t>
  </si>
  <si>
    <t>Diện tích chiếu của bản lề</t>
  </si>
  <si>
    <t>Hệ số tải trọng động K_đ</t>
  </si>
  <si>
    <t>Hệ số kể đến ảnh hưởng của số răng đĩa xích k_r</t>
  </si>
  <si>
    <t>Tra bảng 5.11 tr86</t>
  </si>
  <si>
    <t>Vật liệu</t>
  </si>
  <si>
    <t>Thép 45</t>
  </si>
  <si>
    <t>Nhiệt luyện</t>
  </si>
  <si>
    <t>Tôi cải thiện</t>
  </si>
  <si>
    <t>Độ rắn bề mặt</t>
  </si>
  <si>
    <t>HB170...210</t>
  </si>
  <si>
    <t>Ứng suất tiếp xúc cho phép</t>
  </si>
  <si>
    <t>500...600</t>
  </si>
  <si>
    <t>2.7. Xác định lực tác dụng lên trục</t>
  </si>
  <si>
    <t>Hệ số kể đến trọng lượng xích</t>
  </si>
  <si>
    <t>k_x</t>
  </si>
  <si>
    <t>do @ = 60 &gt; 40</t>
  </si>
  <si>
    <t>Lực tác dụng lên trục</t>
  </si>
  <si>
    <t>F_r</t>
  </si>
  <si>
    <t>2.8. Thông số bộ truyền xích</t>
  </si>
  <si>
    <t>Thông số</t>
  </si>
  <si>
    <t>Đơn vị</t>
  </si>
  <si>
    <t>Giá trị</t>
  </si>
  <si>
    <t>Loại xích</t>
  </si>
  <si>
    <t>Số dãy xích</t>
  </si>
  <si>
    <t>Số răng đĩa xích nhỏ</t>
  </si>
  <si>
    <t>Số răng đĩa xích lớn</t>
  </si>
  <si>
    <t>Đường kính vòng chia của đĩa xích nhỏ</t>
  </si>
  <si>
    <t>Đường kính vòng chia của đĩa xích lớn</t>
  </si>
  <si>
    <t>Đường kính chân răng đĩa xích nhỏ</t>
  </si>
  <si>
    <t>Đường kính chân răng đĩa xích lớn</t>
  </si>
  <si>
    <t>Ứng suất tiếp xúc trên mặt răng đĩa xích</t>
  </si>
  <si>
    <t>Vật liệu chế tạo xích</t>
  </si>
  <si>
    <t>Góc nghiêng đường nối tâm hai đĩa xích</t>
  </si>
  <si>
    <t>Đường kính vòng đỉnh răng đĩa xích nhỏ</t>
  </si>
  <si>
    <t>Đường kính vòng đỉnh răng đĩa xích lớn</t>
  </si>
  <si>
    <t>III. TÍNH TOÁN BỘ TRUYỀN BÁNH RĂNG TRỤ RĂNG THẲNG</t>
  </si>
  <si>
    <t>3.1. Chọn vật liêu chế tạo bánh răng</t>
  </si>
  <si>
    <t>Bảng 6.1 tr 92</t>
  </si>
  <si>
    <t>Bánh răng nhỏ</t>
  </si>
  <si>
    <t>Loại bánh răng</t>
  </si>
  <si>
    <t>Nhãn hiệu thép</t>
  </si>
  <si>
    <t>Kích thước S (mm), không lớn hơn</t>
  </si>
  <si>
    <t>Độ rắn</t>
  </si>
  <si>
    <t>Giới hạn bền</t>
  </si>
  <si>
    <t>Giới hạn chảy</t>
  </si>
  <si>
    <t>Bánh răng lớn</t>
  </si>
  <si>
    <t>HB192...240</t>
  </si>
  <si>
    <t>HB241...285</t>
  </si>
  <si>
    <t>3.2. Xác định ứng suất cho phép</t>
  </si>
  <si>
    <t>tra bảng 6.2 tr 94</t>
  </si>
  <si>
    <t>Bánh răng chủ động</t>
  </si>
  <si>
    <t>Bánh răng bị động</t>
  </si>
  <si>
    <t>HB1</t>
  </si>
  <si>
    <t>HB2</t>
  </si>
  <si>
    <t>Hệ số an toàn khi tính về tiếp xúc và uốn</t>
  </si>
  <si>
    <t>S_h</t>
  </si>
  <si>
    <t>S_f</t>
  </si>
  <si>
    <t>Hệ số xét đến ảnh hưởng đặt tải</t>
  </si>
  <si>
    <t>K_fc</t>
  </si>
  <si>
    <t>đặt tải 1 phía</t>
  </si>
  <si>
    <t>Bậc của đường cong mỏi khi thử về tiếp xúc và uốn</t>
  </si>
  <si>
    <t>m_H</t>
  </si>
  <si>
    <t>m_F</t>
  </si>
  <si>
    <t>HB &lt;= 350</t>
  </si>
  <si>
    <t>Số chu kỳ thay đổi ứng suất cơ sở khi thử về tiếp xúc N_HO</t>
  </si>
  <si>
    <t xml:space="preserve">Số chu kỳ thay đổi ứng suất cơ sở khi thử về uốn </t>
  </si>
  <si>
    <t>N_FO</t>
  </si>
  <si>
    <t>với tất cả loại thép</t>
  </si>
  <si>
    <t>Số chu kỳ thay đổi ứng suất tương đương</t>
  </si>
  <si>
    <t>N_HE = N_FE = N</t>
  </si>
  <si>
    <t>Do tải trọng tĩnh</t>
  </si>
  <si>
    <t xml:space="preserve">N_HE1 &gt; N_HO1 nên K_HL1 = </t>
  </si>
  <si>
    <t xml:space="preserve">N_FE1 &gt; N_FO1 nên K_FL1 = </t>
  </si>
  <si>
    <t xml:space="preserve">N_HE2 &gt; N_HO2 nên K_HL2 = </t>
  </si>
  <si>
    <t xml:space="preserve">N_FE2 &gt; N_FO2 nên K_FL2 = </t>
  </si>
  <si>
    <t>Ứng suất uốn cho phép</t>
  </si>
  <si>
    <t>Ứng suất tiếp xúc cho phép truyền động BR trụ răng thẳng</t>
  </si>
  <si>
    <t>Ứng suất tiếp xúc cho phép khi quá tải (tôi cải thiện)</t>
  </si>
  <si>
    <t>Ứng suất uốn cho phép khi quá tải (HB &lt;= 350)</t>
  </si>
  <si>
    <t>3.3. Truyền động bánh răng trụ răng thẳng</t>
  </si>
  <si>
    <t>3.3.1. Xác định thông số cơ bản của bộ truyền</t>
  </si>
  <si>
    <t>Khoảng cách trục sơ bộ của bộ truyền</t>
  </si>
  <si>
    <t>K_a: Hệ số phụ thuộc vào vật liệu cặp BR (thép - thép)</t>
  </si>
  <si>
    <t>3.3.2. Xác định các thông số ăn khớp</t>
  </si>
  <si>
    <t xml:space="preserve">a. Xác định modun </t>
  </si>
  <si>
    <t>m</t>
  </si>
  <si>
    <t>Bảng 6.8 tr99</t>
  </si>
  <si>
    <t>b. Xác định số răng</t>
  </si>
  <si>
    <t>góc nghiêng B</t>
  </si>
  <si>
    <t>Z1</t>
  </si>
  <si>
    <t>Z2</t>
  </si>
  <si>
    <t>Tính lại khoảng cách trục</t>
  </si>
  <si>
    <t>a_w</t>
  </si>
  <si>
    <t>u</t>
  </si>
  <si>
    <t>chấp nhận</t>
  </si>
  <si>
    <t>c. Xác định hệ số dịch chỉnh</t>
  </si>
  <si>
    <t>Z1 = 21 = 21</t>
  </si>
  <si>
    <t>x1</t>
  </si>
  <si>
    <t>x2</t>
  </si>
  <si>
    <t>3.3.3. Các thông số cơ bản của bộ truyền bánh răng trụ thẳng</t>
  </si>
  <si>
    <t>Khoảng cách trục chia</t>
  </si>
  <si>
    <t xml:space="preserve">Khoảng cách trục </t>
  </si>
  <si>
    <t>với i = 3.04 &lt; [i] = 30 khi p = 15.875 mm</t>
  </si>
  <si>
    <t>bảng 5.2 tr78</t>
  </si>
  <si>
    <t>Đường kính chia</t>
  </si>
  <si>
    <t>d1</t>
  </si>
  <si>
    <t>d2</t>
  </si>
  <si>
    <t>Đường kính lăn</t>
  </si>
  <si>
    <t>d_w1</t>
  </si>
  <si>
    <t>d_w2</t>
  </si>
  <si>
    <t>Đường kính đỉnh răng</t>
  </si>
  <si>
    <t>Đường kính đáy răng</t>
  </si>
  <si>
    <t>Đường kính cơ sở</t>
  </si>
  <si>
    <t>d_b1</t>
  </si>
  <si>
    <t>d_b2</t>
  </si>
  <si>
    <t>Góc profin gốc</t>
  </si>
  <si>
    <t>alpha</t>
  </si>
  <si>
    <t>Góc profin răng</t>
  </si>
  <si>
    <t>alpha_t</t>
  </si>
  <si>
    <t>Góc ăn khớp</t>
  </si>
  <si>
    <t>alpha_tw</t>
  </si>
  <si>
    <t>3.3.4. Kiểm nghiệm răng về độ bền tiếp xúc</t>
  </si>
  <si>
    <t>Hệ số kể đến cơ tính vật liệu của BR ăn khớp</t>
  </si>
  <si>
    <t>Z_M (bảng 6.5 tr 96)</t>
  </si>
  <si>
    <t>Z_H</t>
  </si>
  <si>
    <r>
      <t>Z_</t>
    </r>
    <r>
      <rPr>
        <sz val="11"/>
        <color theme="1"/>
        <rFont val="Aptos Narrow"/>
        <family val="2"/>
      </rPr>
      <t>ξ</t>
    </r>
  </si>
  <si>
    <t>Hệ số kể đến hình dạng bề mặt tiếp xúc</t>
  </si>
  <si>
    <t>Hệ số trùng khớp ngang</t>
  </si>
  <si>
    <t>Hệ số kể đến sự trùng khớp của răng</t>
  </si>
  <si>
    <t>Hệ số tải trọng khi tính về tiếp xúc</t>
  </si>
  <si>
    <t>K_H</t>
  </si>
  <si>
    <t>K_HB (Bảng 6.7 tr 98)</t>
  </si>
  <si>
    <t>K_HA</t>
  </si>
  <si>
    <t>vận tốc vòng</t>
  </si>
  <si>
    <t>CCX 8</t>
  </si>
  <si>
    <t>Bảng 6.13</t>
  </si>
  <si>
    <t>Tra bảng P2.3 tr 250</t>
  </si>
  <si>
    <t>K_Hv (nội suy)</t>
  </si>
  <si>
    <t>K_Fv (nội suy)</t>
  </si>
  <si>
    <t>Ứng suất tiếp xúc xuất hiện trên mặt răng của bộ truyền</t>
  </si>
  <si>
    <t>Chiều rộng vành răng</t>
  </si>
  <si>
    <t>b_w</t>
  </si>
  <si>
    <t>Thỏa mãn &lt; 463.64</t>
  </si>
  <si>
    <t>3.3.5. Kiểm nghiệm răng về độ bền uốn</t>
  </si>
  <si>
    <t>ξ_a</t>
  </si>
  <si>
    <t>Hệ số trùng khớp dọc</t>
  </si>
  <si>
    <t>ξ_b</t>
  </si>
  <si>
    <t>Hệ số kể đến sự  trùng khớp của BR</t>
  </si>
  <si>
    <r>
      <t>Y_</t>
    </r>
    <r>
      <rPr>
        <sz val="11"/>
        <color theme="1"/>
        <rFont val="Aptos Narrow"/>
        <family val="2"/>
      </rPr>
      <t>ξ</t>
    </r>
  </si>
  <si>
    <t>Hệ số kể đến độ nghiêng của răng</t>
  </si>
  <si>
    <t>Y_B</t>
  </si>
  <si>
    <t>Y_F1</t>
  </si>
  <si>
    <t>Y_F2</t>
  </si>
  <si>
    <t>Hệ số dạng răng (nội suy)</t>
  </si>
  <si>
    <t>Hệ số kể đến sự phân bố không đều tải trọng cho các đôi răng đồng thời ăn khớp khi tính về uốn</t>
  </si>
  <si>
    <t>K_Fv</t>
  </si>
  <si>
    <t>Hệ số tải trọng khi tính về uốn</t>
  </si>
  <si>
    <t>K_Fa</t>
  </si>
  <si>
    <t>Hệ số kể đến tải trọng động xuất hiện trong vùng ăn khớp khi tính về uốn</t>
  </si>
  <si>
    <t>K_F</t>
  </si>
  <si>
    <t>K_FB (Bảng 6.7 tr 98)</t>
  </si>
  <si>
    <t>Ứng suất uốn của bánh răng chủ động</t>
  </si>
  <si>
    <t>Ứng suất uốn của bánh răng bị động</t>
  </si>
  <si>
    <t>Thỏa mãn yêu cầu</t>
  </si>
  <si>
    <t>3.3.6. Kiểm nghiệm răng về quá tải</t>
  </si>
  <si>
    <t>Hệ số quá tải</t>
  </si>
  <si>
    <t>K_qt</t>
  </si>
  <si>
    <t>Tra 234</t>
  </si>
  <si>
    <t>thỏa mãn &lt; 1624</t>
  </si>
  <si>
    <t>Thỏa mãn &lt; 464</t>
  </si>
  <si>
    <t>Thỏa mãn &lt; 360</t>
  </si>
  <si>
    <t>3.3.7. Bảng thông số thiết kế cặp bánh răng</t>
  </si>
  <si>
    <t>Tra bảng 5.5 tr82 với n01 = 200 và P_t &lt;= [P], có</t>
  </si>
  <si>
    <t>CHƯƠNG IV: TÍNH TOÁN THIẾT KẾ TRỤC</t>
  </si>
  <si>
    <t>4.1. Tính chọn khớp nối</t>
  </si>
  <si>
    <t>Momen cần truyền</t>
  </si>
  <si>
    <t>T</t>
  </si>
  <si>
    <t>Đường kính trục động cơ</t>
  </si>
  <si>
    <t>d_đc</t>
  </si>
  <si>
    <t xml:space="preserve">4.1.1. Chọn khớp nối </t>
  </si>
  <si>
    <t>khớp nối trục vòng đàn hồi</t>
  </si>
  <si>
    <t>T_t</t>
  </si>
  <si>
    <t>Hệ số chế độ làm việc - k</t>
  </si>
  <si>
    <t>Đảm bảo sức bền dập của vòng đàn hồi</t>
  </si>
  <si>
    <t>4.1.2. Kiểm nghiệm điều kiện bền của vòng đàn hồi và chốt</t>
  </si>
  <si>
    <t>Điều kiện sức bền của chốt</t>
  </si>
  <si>
    <t>Z</t>
  </si>
  <si>
    <t>D0</t>
  </si>
  <si>
    <t>l3</t>
  </si>
  <si>
    <t>l1</t>
  </si>
  <si>
    <t>l2</t>
  </si>
  <si>
    <t>l0</t>
  </si>
  <si>
    <t>dc</t>
  </si>
  <si>
    <t>thỏa mãn</t>
  </si>
  <si>
    <t>4.2. Thiết kế trục I</t>
  </si>
  <si>
    <t>4.2.1. Chọn vật liệu thiết kế trục</t>
  </si>
  <si>
    <t>Mác thép</t>
  </si>
  <si>
    <t>Độ cứng</t>
  </si>
  <si>
    <t>C45</t>
  </si>
  <si>
    <t>HB 192 .. 240</t>
  </si>
  <si>
    <t>4.2.2. Tải trọng tác dụng lên các trục</t>
  </si>
  <si>
    <t>Lực vòng</t>
  </si>
  <si>
    <t>Ft1 = Ft2</t>
  </si>
  <si>
    <t>Lực hướng tâm</t>
  </si>
  <si>
    <t>Fr1 = Fr2</t>
  </si>
  <si>
    <t>Lực dọc trục</t>
  </si>
  <si>
    <t>Fa1 = Fa2</t>
  </si>
  <si>
    <t>4.2.3. Tính sơ bộ trục</t>
  </si>
  <si>
    <t>Đường kính trục</t>
  </si>
  <si>
    <t>d</t>
  </si>
  <si>
    <t>chọn d</t>
  </si>
  <si>
    <t>b0</t>
  </si>
  <si>
    <t>bảng 10.2[2] tr 189</t>
  </si>
  <si>
    <t>Chiều rộng ổ lăn</t>
  </si>
  <si>
    <t>Chiều dài mayo nửa khớp nối</t>
  </si>
  <si>
    <t xml:space="preserve">Khoảng cách từ mặt mút của chi tiết quay đến thành trong của hộp hoặc khoảng cách giữa các chi tiết quay </t>
  </si>
  <si>
    <t>k1</t>
  </si>
  <si>
    <t>Khoảng cách từ mặt mút ổ đến thành trong của hộp</t>
  </si>
  <si>
    <t>k2</t>
  </si>
  <si>
    <t>Khoảng cách từ mặt mút của chi tiết quay đến nắp ổ</t>
  </si>
  <si>
    <t>k3</t>
  </si>
  <si>
    <t>Chiều cao nắp ổ và đầu bu lông</t>
  </si>
  <si>
    <t>h_n</t>
  </si>
  <si>
    <t>Khoảng công xôn (khoảng chìa) trên trục thứ 1, tính từ chi tiết thứ 2 ở ngoài hgt đến gối đỡ</t>
  </si>
  <si>
    <t>Chiều dài mayo BR trụ</t>
  </si>
  <si>
    <t>l_m13</t>
  </si>
  <si>
    <t>l_m12 (nối trục vòng đàn hồi)</t>
  </si>
  <si>
    <t>l_c12 = -l12</t>
  </si>
  <si>
    <t>Khoảng cách từ gối đỡ 0 đến tiết diện thứ 3 trên trục thứ 1</t>
  </si>
  <si>
    <t>l13</t>
  </si>
  <si>
    <t>Chiều rộng vành bánh răng thứ 3 trên trục thứ 1</t>
  </si>
  <si>
    <t>b13 = bw1</t>
  </si>
  <si>
    <t>4.2.5. Tính toán lực cho trục I</t>
  </si>
  <si>
    <t>Khoảng cách giữa các gối đỡ 0 và 1 trên trục thứ 1</t>
  </si>
  <si>
    <t>l1l = 2*l13</t>
  </si>
  <si>
    <t>F_t</t>
  </si>
  <si>
    <t>FxB</t>
  </si>
  <si>
    <t>FyB</t>
  </si>
  <si>
    <t>FxD</t>
  </si>
  <si>
    <t>FyD</t>
  </si>
  <si>
    <t>My</t>
  </si>
  <si>
    <t>Momen uốn lớn nhất</t>
  </si>
  <si>
    <t>Mx</t>
  </si>
  <si>
    <t>4.2.6. Tính momen tương đương</t>
  </si>
  <si>
    <t>Momen tương đương tại khớp nối</t>
  </si>
  <si>
    <t>Mtd1</t>
  </si>
  <si>
    <t>Momen tương đương tại ổ lăn B</t>
  </si>
  <si>
    <t>MtdB</t>
  </si>
  <si>
    <t>Momen tương đương tại BR</t>
  </si>
  <si>
    <t>Mtd BR</t>
  </si>
  <si>
    <t>tại bánh răng chủ động</t>
  </si>
  <si>
    <t>4.2.7. Đường kính các đoạn trục</t>
  </si>
  <si>
    <t>Đường kính trục tại vị trí tiết diện khớp nối</t>
  </si>
  <si>
    <t>Đường kính trục tại vị trí tiết diện ổ lăn B</t>
  </si>
  <si>
    <t xml:space="preserve">Đường kính trục tại vị trí tiết diện bánh răng </t>
  </si>
  <si>
    <t>d BR</t>
  </si>
  <si>
    <t>4.2.8. Chọn then và kiểm nghiệm then</t>
  </si>
  <si>
    <t>a. Then bằng để lắp khớp nối</t>
  </si>
  <si>
    <t>Chiều rộng then</t>
  </si>
  <si>
    <t>b</t>
  </si>
  <si>
    <t>Chiều cao then</t>
  </si>
  <si>
    <t>h</t>
  </si>
  <si>
    <t>t1</t>
  </si>
  <si>
    <t>Chiều sâu rãnh then trên lỗ</t>
  </si>
  <si>
    <t>Chiều sâu rãnh then trên trục</t>
  </si>
  <si>
    <t>t2</t>
  </si>
  <si>
    <t>Chiều dài then</t>
  </si>
  <si>
    <t>l_t</t>
  </si>
  <si>
    <t>thỏa mãn &lt; 50 MPa</t>
  </si>
  <si>
    <t>thỏa mãn nhỏ hơn 1/3(60-90) MPa</t>
  </si>
  <si>
    <t>b. Then bằng để lắp bánh răng</t>
  </si>
  <si>
    <t xml:space="preserve">Đường kính trục </t>
  </si>
  <si>
    <t>4.2.9. Tính kiểm nghiệm trục về độ bền mỏi</t>
  </si>
  <si>
    <t>Hệ số an toàn chỉ xét riêng ứng suất tiếp</t>
  </si>
  <si>
    <t xml:space="preserve">Giới hạn mỏi uốn </t>
  </si>
  <si>
    <t xml:space="preserve">   </t>
  </si>
  <si>
    <t>Biên độ và trị số trung bình của ứng suất pháp và ứng suất tiếp tại tiết diện j</t>
  </si>
  <si>
    <t>Đối với trục quay, ứng suất uốn thay đôir theo chu kì đối xứng</t>
  </si>
  <si>
    <t>Khi trục quay 1 chiều ứng suất xoắn thay đổi theo chu kỳ mạch động</t>
  </si>
  <si>
    <t>hệ số kể đến ảnh hưởng của trị số ứng suất trung bình dến độ bền mỏi</t>
  </si>
  <si>
    <t>hệ số tập trung ứng suất do trạng thái bề mặt, phụ thuộc vào phương pháp gia công và độ nhẵn bề mặt</t>
  </si>
  <si>
    <t>K_x</t>
  </si>
  <si>
    <t>hệ số tăng bền bề mặt trục, phụ thuộc vào phương pháp tăng bền bề mặt, cơ tính vật liệu</t>
  </si>
  <si>
    <t>K_y</t>
  </si>
  <si>
    <t>hệ số kích thước kể đến ảnh hưởng của kích thước tiết diện trục đến giới hạn mỏi</t>
  </si>
  <si>
    <t>Hệ số</t>
  </si>
  <si>
    <t>Trục có 1 rãnh then</t>
  </si>
  <si>
    <t>Momen cản uốn</t>
  </si>
  <si>
    <t>Momen cản xoắn</t>
  </si>
  <si>
    <t>thỏa mãn &gt; [s] = 2.5...3</t>
  </si>
  <si>
    <t>4.2.10. Tính kiểm nghiệm trục về độ bền tĩnh</t>
  </si>
  <si>
    <t>4.3. Chọn và kiểm nghiệm ổ lăn cho trục I</t>
  </si>
  <si>
    <t>4.3.1. Chọn ô lăn</t>
  </si>
  <si>
    <t>Lực hướng tâm tác dụng lên ổ lăn</t>
  </si>
  <si>
    <t>F_r0</t>
  </si>
  <si>
    <t>F_r1</t>
  </si>
  <si>
    <t>Chọn ổ bi đỡ 1 dãy</t>
  </si>
  <si>
    <t>d10 = d11</t>
  </si>
  <si>
    <t>Kí hiệu ổ</t>
  </si>
  <si>
    <t>Đường kính bi</t>
  </si>
  <si>
    <t>d (mm)</t>
  </si>
  <si>
    <t>D (mm)</t>
  </si>
  <si>
    <t>r (mm)</t>
  </si>
  <si>
    <t>C (kN)</t>
  </si>
  <si>
    <t>C_o (kN)</t>
  </si>
  <si>
    <t>4.3.2. Kiểm nghiệm khả năng chịu tải động</t>
  </si>
  <si>
    <t>a) Kiểm nghiệm tại tiết diện lắp bánh răng</t>
  </si>
  <si>
    <t>b) Kiểm nghiệm tại tiết diện lắp khớp nối</t>
  </si>
  <si>
    <t>W1</t>
  </si>
  <si>
    <t>W_o1</t>
  </si>
  <si>
    <t>Không cần tăng bền</t>
  </si>
  <si>
    <t>Bảng 10.10 tr 198</t>
  </si>
  <si>
    <t>Bảng 10.12 tr 199</t>
  </si>
  <si>
    <t>Bảng 10.11 tr 198</t>
  </si>
  <si>
    <t>hệ số tập trung ứng suất thực tê khi uốn và khi xoắn, đối với trục có rãnh then</t>
  </si>
  <si>
    <t>nội suy</t>
  </si>
  <si>
    <t>F_kn</t>
  </si>
  <si>
    <t>Mj</t>
  </si>
  <si>
    <t>infinity</t>
  </si>
  <si>
    <t>c) Kiểm nghiệm tại tiết diện lắp ổ lăn</t>
  </si>
  <si>
    <t>W2</t>
  </si>
  <si>
    <t>W_o2</t>
  </si>
  <si>
    <t>Sự tập trung ứng suất tại ổ lăn là lắp ghép có độ dôi</t>
  </si>
  <si>
    <t>hệ số tập trung ứng suất thực tê khi uốn và khi xoắn, đối với bề mặt trục lắp có độ dôi</t>
  </si>
  <si>
    <t>Tải trọng động quy ước</t>
  </si>
  <si>
    <t>X</t>
  </si>
  <si>
    <t>Y</t>
  </si>
  <si>
    <t>Hệ số tải trọng hướng tâm</t>
  </si>
  <si>
    <t>Hệ số tải trọng dọc trục</t>
  </si>
  <si>
    <t>Hệ số kể đến vòng nào quay, hệ vòng trong quay thì</t>
  </si>
  <si>
    <t>V</t>
  </si>
  <si>
    <t>Hệ số kể đến ảnh hưởng của nhiệt độ</t>
  </si>
  <si>
    <t>k_t</t>
  </si>
  <si>
    <t>Hệ số kể đến đặc tính tải trọng, va đập vừa và rung động, quá tải ngắn hạn</t>
  </si>
  <si>
    <t>k_đ</t>
  </si>
  <si>
    <t>Fa</t>
  </si>
  <si>
    <t>Q0</t>
  </si>
  <si>
    <t>Q1</t>
  </si>
  <si>
    <t>Tiến hành kiểm nghiệm với Q lớn hơn</t>
  </si>
  <si>
    <t>Q</t>
  </si>
  <si>
    <t>Tuổi thọ của ô tính bằng số vòng quay</t>
  </si>
  <si>
    <t>L</t>
  </si>
  <si>
    <t>triệu vòng</t>
  </si>
  <si>
    <t>Kiểm tra</t>
  </si>
  <si>
    <t>Cd</t>
  </si>
  <si>
    <t>đối với ổ bi</t>
  </si>
  <si>
    <t>&lt; 17.6 kN</t>
  </si>
  <si>
    <t>thỏa mãn khả năng tải động</t>
  </si>
  <si>
    <t>4.3.3. Kiểm nghiệm khả năng chịu tải tĩnh</t>
  </si>
  <si>
    <t>Khả năng tải tĩnh nhằm đề phòng biến dạng dư, theo điều kiện</t>
  </si>
  <si>
    <t>Qt: Tải trọng tĩnh quy ước</t>
  </si>
  <si>
    <t>Co: Khả năng tải tĩnh</t>
  </si>
  <si>
    <t>Đối với ổ bi đỡ</t>
  </si>
  <si>
    <t>Qt = Fr</t>
  </si>
  <si>
    <t>Qt0</t>
  </si>
  <si>
    <t>Qt1</t>
  </si>
  <si>
    <t>Tiến hành kiểm nghiệm với Qt lớn hơn</t>
  </si>
  <si>
    <t>Qt</t>
  </si>
  <si>
    <t>&lt; C0 = 11600 N</t>
  </si>
  <si>
    <t>4.4. Thiết kế trục II</t>
  </si>
  <si>
    <t>4.4.1. Chọn vật liệu thiết kế truc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</si>
</sst>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sz val="11"/>
      <color indexed="8"/>
      <name val="Arial"/>
      <family val="2"/>
      <scheme val="minor"/>
    </font>
    <font>
      <b/>
      <sz val="9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rgb="FFFF0000"/>
      <name val="Arial"/>
      <family val="2"/>
      <scheme val="minor"/>
    </font>
    <font>
      <b/>
      <sz val="11"/>
      <color rgb="FFFF0000"/>
      <name val="Arial"/>
      <family val="2"/>
      <scheme val="minor"/>
    </font>
    <font>
      <b/>
      <sz val="12"/>
      <name val="Arial"/>
      <family val="2"/>
      <scheme val="minor"/>
    </font>
    <font>
      <sz val="13"/>
      <name val="Times New Roman"/>
      <family val="1"/>
    </font>
    <font>
      <sz val="11"/>
      <color rgb="FFC00000"/>
      <name val="Arial"/>
      <family val="2"/>
      <scheme val="minor"/>
    </font>
    <font>
      <b/>
      <sz val="11"/>
      <color rgb="FFC00000"/>
      <name val="Arial"/>
      <family val="2"/>
      <scheme val="minor"/>
    </font>
    <font>
      <sz val="11"/>
      <color theme="1"/>
      <name val="Aptos Narrow"/>
      <family val="2"/>
    </font>
    <font>
      <sz val="8"/>
      <name val="Arial"/>
      <family val="2"/>
      <scheme val="minor"/>
    </font>
    <font>
      <sz val="12"/>
      <color theme="1"/>
      <name val="Arial"/>
      <family val="2"/>
      <scheme val="minor"/>
    </font>
    <font>
      <sz val="12"/>
      <color rgb="FFFF0000"/>
      <name val="Arial"/>
      <family val="2"/>
      <scheme val="minor"/>
    </font>
    <font>
      <b/>
      <sz val="12"/>
      <color rgb="FFFF0000"/>
      <name val="Arial"/>
      <family val="2"/>
      <scheme val="minor"/>
    </font>
    <font>
      <sz val="11"/>
      <name val="Arial"/>
      <family val="2"/>
      <scheme val="minor"/>
    </font>
    <font>
      <sz val="13"/>
      <color theme="1"/>
      <name val="Times New Roman"/>
      <family val="1"/>
    </font>
    <font>
      <sz val="11"/>
      <color theme="4" tint="0.39997558519241921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2" fillId="0" borderId="0"/>
  </cellStyleXfs>
  <cellXfs count="53">
    <xf numFmtId="0" fontId="0" fillId="0" borderId="0" xfId="0"/>
    <xf numFmtId="0" fontId="1" fillId="0" borderId="1" xfId="1" applyFont="1" applyBorder="1" applyAlignment="1">
      <alignment wrapText="1"/>
    </xf>
    <xf numFmtId="0" fontId="3" fillId="0" borderId="1" xfId="1" applyFont="1" applyBorder="1" applyAlignment="1">
      <alignment wrapText="1"/>
    </xf>
    <xf numFmtId="0" fontId="6" fillId="0" borderId="0" xfId="1" applyFont="1"/>
    <xf numFmtId="0" fontId="5" fillId="0" borderId="0" xfId="0" applyFont="1"/>
    <xf numFmtId="0" fontId="7" fillId="0" borderId="0" xfId="1" applyFont="1" applyAlignment="1">
      <alignment horizontal="center" vertical="center" wrapText="1"/>
    </xf>
    <xf numFmtId="0" fontId="4" fillId="0" borderId="0" xfId="0" applyFont="1"/>
    <xf numFmtId="0" fontId="2" fillId="0" borderId="0" xfId="1"/>
    <xf numFmtId="0" fontId="2" fillId="0" borderId="1" xfId="1" applyBorder="1"/>
    <xf numFmtId="0" fontId="2" fillId="0" borderId="1" xfId="1" applyBorder="1" applyAlignment="1">
      <alignment horizontal="center" vertical="center"/>
    </xf>
    <xf numFmtId="0" fontId="2" fillId="0" borderId="0" xfId="1" applyAlignment="1">
      <alignment horizontal="center" vertical="center"/>
    </xf>
    <xf numFmtId="0" fontId="4" fillId="2" borderId="0" xfId="0" applyFont="1" applyFill="1"/>
    <xf numFmtId="0" fontId="0" fillId="2" borderId="0" xfId="0" applyFill="1"/>
    <xf numFmtId="0" fontId="6" fillId="0" borderId="0" xfId="0" applyFont="1"/>
    <xf numFmtId="0" fontId="8" fillId="2" borderId="0" xfId="0" applyFont="1" applyFill="1" applyAlignment="1">
      <alignment horizontal="justify" vertical="center"/>
    </xf>
    <xf numFmtId="0" fontId="9" fillId="3" borderId="0" xfId="0" applyFont="1" applyFill="1"/>
    <xf numFmtId="0" fontId="9" fillId="0" borderId="0" xfId="0" applyFont="1"/>
    <xf numFmtId="0" fontId="10" fillId="0" borderId="0" xfId="0" applyFont="1"/>
    <xf numFmtId="0" fontId="0" fillId="3" borderId="0" xfId="0" applyFill="1"/>
    <xf numFmtId="0" fontId="0" fillId="0" borderId="2" xfId="0" applyBorder="1" applyAlignment="1">
      <alignment horizontal="justify" vertical="center" wrapText="1"/>
    </xf>
    <xf numFmtId="0" fontId="0" fillId="0" borderId="3" xfId="0" applyBorder="1" applyAlignment="1">
      <alignment horizontal="justify" vertical="center" wrapText="1"/>
    </xf>
    <xf numFmtId="0" fontId="0" fillId="0" borderId="0" xfId="0" applyAlignment="1">
      <alignment horizontal="right"/>
    </xf>
    <xf numFmtId="0" fontId="4" fillId="0" borderId="0" xfId="0" applyFont="1" applyAlignment="1">
      <alignment horizontal="right"/>
    </xf>
    <xf numFmtId="0" fontId="4" fillId="2" borderId="0" xfId="0" applyFont="1" applyFill="1" applyAlignment="1">
      <alignment horizontal="right"/>
    </xf>
    <xf numFmtId="0" fontId="0" fillId="2" borderId="0" xfId="0" applyFill="1" applyAlignment="1">
      <alignment horizontal="right"/>
    </xf>
    <xf numFmtId="0" fontId="4" fillId="3" borderId="1" xfId="0" applyFont="1" applyFill="1" applyBorder="1"/>
    <xf numFmtId="0" fontId="0" fillId="3" borderId="1" xfId="0" applyFill="1" applyBorder="1"/>
    <xf numFmtId="0" fontId="13" fillId="0" borderId="0" xfId="0" applyFont="1" applyAlignment="1">
      <alignment horizontal="justify" vertical="center" wrapText="1"/>
    </xf>
    <xf numFmtId="0" fontId="13" fillId="0" borderId="0" xfId="0" applyFont="1" applyAlignment="1">
      <alignment horizontal="center" vertical="center" wrapText="1"/>
    </xf>
    <xf numFmtId="0" fontId="13" fillId="0" borderId="0" xfId="0" applyFont="1" applyAlignment="1">
      <alignment horizontal="right" vertical="center" wrapText="1"/>
    </xf>
    <xf numFmtId="0" fontId="4" fillId="0" borderId="0" xfId="0" applyFont="1" applyAlignment="1">
      <alignment horizontal="left"/>
    </xf>
    <xf numFmtId="0" fontId="15" fillId="0" borderId="0" xfId="0" applyFont="1" applyAlignment="1">
      <alignment horizontal="justify" vertical="center" wrapText="1"/>
    </xf>
    <xf numFmtId="0" fontId="14" fillId="0" borderId="0" xfId="0" applyFont="1" applyAlignment="1">
      <alignment horizontal="justify" vertical="center" wrapText="1"/>
    </xf>
    <xf numFmtId="0" fontId="13" fillId="2" borderId="0" xfId="0" applyFont="1" applyFill="1" applyAlignment="1">
      <alignment horizontal="justify" vertical="center" wrapText="1"/>
    </xf>
    <xf numFmtId="0" fontId="0" fillId="0" borderId="3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5" fillId="3" borderId="1" xfId="0" applyFont="1" applyFill="1" applyBorder="1"/>
    <xf numFmtId="0" fontId="16" fillId="0" borderId="0" xfId="0" applyFont="1"/>
    <xf numFmtId="0" fontId="17" fillId="0" borderId="0" xfId="0" applyFont="1"/>
    <xf numFmtId="0" fontId="1" fillId="0" borderId="0" xfId="0" applyFont="1"/>
    <xf numFmtId="0" fontId="0" fillId="0" borderId="2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5" fillId="3" borderId="0" xfId="0" applyFont="1" applyFill="1"/>
    <xf numFmtId="0" fontId="4" fillId="0" borderId="0" xfId="0" applyFont="1" applyAlignment="1">
      <alignment horizontal="center" vertical="center"/>
    </xf>
    <xf numFmtId="0" fontId="0" fillId="0" borderId="4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0" xfId="0" applyFont="1"/>
    <xf numFmtId="0" fontId="18" fillId="0" borderId="0" xfId="0" applyFont="1"/>
    <xf numFmtId="0" fontId="0" fillId="2" borderId="0" xfId="0" applyFont="1" applyFill="1"/>
    <xf numFmtId="0" fontId="17" fillId="0" borderId="3" xfId="0" applyFont="1" applyBorder="1" applyAlignment="1">
      <alignment horizontal="center" vertical="center" wrapText="1"/>
    </xf>
    <xf numFmtId="0" fontId="17" fillId="0" borderId="5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 wrapText="1"/>
    </xf>
    <xf numFmtId="0" fontId="17" fillId="0" borderId="3" xfId="0" applyFont="1" applyBorder="1" applyAlignment="1">
      <alignment horizontal="center" vertical="center" wrapText="1"/>
    </xf>
  </cellXfs>
  <cellStyles count="2">
    <cellStyle name="Normal" xfId="0" builtinId="0"/>
    <cellStyle name="Normal 2" xfId="1" xr:uid="{EDD9E56D-1596-4BB3-A70A-1A0FAB3D061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" Target="richData/rdrichvalue.xml"/><Relationship Id="rId3" Type="http://schemas.openxmlformats.org/officeDocument/2006/relationships/theme" Target="theme/theme1.xml"/><Relationship Id="rId7" Type="http://schemas.microsoft.com/office/2022/10/relationships/richValueRel" Target="richData/richValueRel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11" Type="http://schemas.openxmlformats.org/officeDocument/2006/relationships/calcChain" Target="calcChain.xml"/><Relationship Id="rId5" Type="http://schemas.openxmlformats.org/officeDocument/2006/relationships/sharedStrings" Target="sharedStrings.xml"/><Relationship Id="rId10" Type="http://schemas.microsoft.com/office/2017/06/relationships/rdRichValueTypes" Target="richData/rdRichValueTypes.xml"/><Relationship Id="rId4" Type="http://schemas.openxmlformats.org/officeDocument/2006/relationships/styles" Target="styles.xml"/><Relationship Id="rId9" Type="http://schemas.microsoft.com/office/2017/06/relationships/rdRichValueStructure" Target="richData/rdrichvaluestructure.xml"/></Relationships>
</file>

<file path=xl/drawings/_rels/drawing1.xml.rels><?xml version="1.0" encoding="UTF-8" standalone="yes"?>
<Relationships xmlns="http://schemas.openxmlformats.org/package/2006/relationships"><Relationship Id="rId26" Type="http://schemas.openxmlformats.org/officeDocument/2006/relationships/image" Target="../media/image28.png"/><Relationship Id="rId21" Type="http://schemas.openxmlformats.org/officeDocument/2006/relationships/image" Target="../media/image23.png"/><Relationship Id="rId42" Type="http://schemas.openxmlformats.org/officeDocument/2006/relationships/image" Target="../media/image44.png"/><Relationship Id="rId47" Type="http://schemas.openxmlformats.org/officeDocument/2006/relationships/image" Target="../media/image49.png"/><Relationship Id="rId63" Type="http://schemas.openxmlformats.org/officeDocument/2006/relationships/image" Target="../media/image65.png"/><Relationship Id="rId68" Type="http://schemas.openxmlformats.org/officeDocument/2006/relationships/image" Target="../media/image70.png"/><Relationship Id="rId84" Type="http://schemas.openxmlformats.org/officeDocument/2006/relationships/image" Target="../media/image86.png"/><Relationship Id="rId89" Type="http://schemas.openxmlformats.org/officeDocument/2006/relationships/image" Target="../media/image91.png"/><Relationship Id="rId16" Type="http://schemas.openxmlformats.org/officeDocument/2006/relationships/image" Target="../media/image18.png"/><Relationship Id="rId11" Type="http://schemas.openxmlformats.org/officeDocument/2006/relationships/image" Target="../media/image13.png"/><Relationship Id="rId32" Type="http://schemas.openxmlformats.org/officeDocument/2006/relationships/image" Target="../media/image34.png"/><Relationship Id="rId37" Type="http://schemas.openxmlformats.org/officeDocument/2006/relationships/image" Target="../media/image39.png"/><Relationship Id="rId53" Type="http://schemas.openxmlformats.org/officeDocument/2006/relationships/image" Target="../media/image55.png"/><Relationship Id="rId58" Type="http://schemas.openxmlformats.org/officeDocument/2006/relationships/image" Target="../media/image60.png"/><Relationship Id="rId74" Type="http://schemas.openxmlformats.org/officeDocument/2006/relationships/image" Target="../media/image76.png"/><Relationship Id="rId79" Type="http://schemas.openxmlformats.org/officeDocument/2006/relationships/image" Target="../media/image81.png"/><Relationship Id="rId5" Type="http://schemas.openxmlformats.org/officeDocument/2006/relationships/image" Target="../media/image7.png"/><Relationship Id="rId90" Type="http://schemas.openxmlformats.org/officeDocument/2006/relationships/image" Target="../media/image92.png"/><Relationship Id="rId22" Type="http://schemas.openxmlformats.org/officeDocument/2006/relationships/image" Target="../media/image24.png"/><Relationship Id="rId27" Type="http://schemas.openxmlformats.org/officeDocument/2006/relationships/image" Target="../media/image29.png"/><Relationship Id="rId43" Type="http://schemas.openxmlformats.org/officeDocument/2006/relationships/image" Target="../media/image45.png"/><Relationship Id="rId48" Type="http://schemas.openxmlformats.org/officeDocument/2006/relationships/image" Target="../media/image50.png"/><Relationship Id="rId64" Type="http://schemas.openxmlformats.org/officeDocument/2006/relationships/image" Target="../media/image66.png"/><Relationship Id="rId69" Type="http://schemas.openxmlformats.org/officeDocument/2006/relationships/image" Target="../media/image71.png"/><Relationship Id="rId8" Type="http://schemas.openxmlformats.org/officeDocument/2006/relationships/image" Target="../media/image10.png"/><Relationship Id="rId51" Type="http://schemas.openxmlformats.org/officeDocument/2006/relationships/image" Target="../media/image53.png"/><Relationship Id="rId72" Type="http://schemas.openxmlformats.org/officeDocument/2006/relationships/image" Target="../media/image74.png"/><Relationship Id="rId80" Type="http://schemas.openxmlformats.org/officeDocument/2006/relationships/image" Target="../media/image82.png"/><Relationship Id="rId85" Type="http://schemas.openxmlformats.org/officeDocument/2006/relationships/image" Target="../media/image87.png"/><Relationship Id="rId93" Type="http://schemas.openxmlformats.org/officeDocument/2006/relationships/image" Target="../media/image95.png"/><Relationship Id="rId3" Type="http://schemas.openxmlformats.org/officeDocument/2006/relationships/image" Target="../media/image5.png"/><Relationship Id="rId12" Type="http://schemas.openxmlformats.org/officeDocument/2006/relationships/image" Target="../media/image14.png"/><Relationship Id="rId17" Type="http://schemas.openxmlformats.org/officeDocument/2006/relationships/image" Target="../media/image19.png"/><Relationship Id="rId25" Type="http://schemas.openxmlformats.org/officeDocument/2006/relationships/image" Target="../media/image27.png"/><Relationship Id="rId33" Type="http://schemas.openxmlformats.org/officeDocument/2006/relationships/image" Target="../media/image35.png"/><Relationship Id="rId38" Type="http://schemas.openxmlformats.org/officeDocument/2006/relationships/image" Target="../media/image40.png"/><Relationship Id="rId46" Type="http://schemas.openxmlformats.org/officeDocument/2006/relationships/image" Target="../media/image48.png"/><Relationship Id="rId59" Type="http://schemas.openxmlformats.org/officeDocument/2006/relationships/image" Target="../media/image61.png"/><Relationship Id="rId67" Type="http://schemas.openxmlformats.org/officeDocument/2006/relationships/image" Target="../media/image69.png"/><Relationship Id="rId20" Type="http://schemas.openxmlformats.org/officeDocument/2006/relationships/image" Target="../media/image22.png"/><Relationship Id="rId41" Type="http://schemas.openxmlformats.org/officeDocument/2006/relationships/image" Target="../media/image43.png"/><Relationship Id="rId54" Type="http://schemas.openxmlformats.org/officeDocument/2006/relationships/image" Target="../media/image56.png"/><Relationship Id="rId62" Type="http://schemas.openxmlformats.org/officeDocument/2006/relationships/image" Target="../media/image64.png"/><Relationship Id="rId70" Type="http://schemas.openxmlformats.org/officeDocument/2006/relationships/image" Target="../media/image72.png"/><Relationship Id="rId75" Type="http://schemas.openxmlformats.org/officeDocument/2006/relationships/image" Target="../media/image77.png"/><Relationship Id="rId83" Type="http://schemas.openxmlformats.org/officeDocument/2006/relationships/image" Target="../media/image85.png"/><Relationship Id="rId88" Type="http://schemas.openxmlformats.org/officeDocument/2006/relationships/image" Target="../media/image90.png"/><Relationship Id="rId91" Type="http://schemas.openxmlformats.org/officeDocument/2006/relationships/image" Target="../media/image93.png"/><Relationship Id="rId1" Type="http://schemas.openxmlformats.org/officeDocument/2006/relationships/image" Target="../media/image3.png"/><Relationship Id="rId6" Type="http://schemas.openxmlformats.org/officeDocument/2006/relationships/image" Target="../media/image8.png"/><Relationship Id="rId15" Type="http://schemas.openxmlformats.org/officeDocument/2006/relationships/image" Target="../media/image17.png"/><Relationship Id="rId23" Type="http://schemas.openxmlformats.org/officeDocument/2006/relationships/image" Target="../media/image25.png"/><Relationship Id="rId28" Type="http://schemas.openxmlformats.org/officeDocument/2006/relationships/image" Target="../media/image30.png"/><Relationship Id="rId36" Type="http://schemas.openxmlformats.org/officeDocument/2006/relationships/image" Target="../media/image38.png"/><Relationship Id="rId49" Type="http://schemas.openxmlformats.org/officeDocument/2006/relationships/image" Target="../media/image51.png"/><Relationship Id="rId57" Type="http://schemas.openxmlformats.org/officeDocument/2006/relationships/image" Target="../media/image59.png"/><Relationship Id="rId10" Type="http://schemas.openxmlformats.org/officeDocument/2006/relationships/image" Target="../media/image12.png"/><Relationship Id="rId31" Type="http://schemas.openxmlformats.org/officeDocument/2006/relationships/image" Target="../media/image33.png"/><Relationship Id="rId44" Type="http://schemas.openxmlformats.org/officeDocument/2006/relationships/image" Target="../media/image46.png"/><Relationship Id="rId52" Type="http://schemas.openxmlformats.org/officeDocument/2006/relationships/image" Target="../media/image54.png"/><Relationship Id="rId60" Type="http://schemas.openxmlformats.org/officeDocument/2006/relationships/image" Target="../media/image62.png"/><Relationship Id="rId65" Type="http://schemas.openxmlformats.org/officeDocument/2006/relationships/image" Target="../media/image67.png"/><Relationship Id="rId73" Type="http://schemas.openxmlformats.org/officeDocument/2006/relationships/image" Target="../media/image75.png"/><Relationship Id="rId78" Type="http://schemas.openxmlformats.org/officeDocument/2006/relationships/image" Target="../media/image80.png"/><Relationship Id="rId81" Type="http://schemas.openxmlformats.org/officeDocument/2006/relationships/image" Target="../media/image83.png"/><Relationship Id="rId86" Type="http://schemas.openxmlformats.org/officeDocument/2006/relationships/image" Target="../media/image88.png"/><Relationship Id="rId4" Type="http://schemas.openxmlformats.org/officeDocument/2006/relationships/image" Target="../media/image6.png"/><Relationship Id="rId9" Type="http://schemas.openxmlformats.org/officeDocument/2006/relationships/image" Target="../media/image11.png"/><Relationship Id="rId13" Type="http://schemas.openxmlformats.org/officeDocument/2006/relationships/image" Target="../media/image15.png"/><Relationship Id="rId18" Type="http://schemas.openxmlformats.org/officeDocument/2006/relationships/image" Target="../media/image20.png"/><Relationship Id="rId39" Type="http://schemas.openxmlformats.org/officeDocument/2006/relationships/image" Target="../media/image41.png"/><Relationship Id="rId34" Type="http://schemas.openxmlformats.org/officeDocument/2006/relationships/image" Target="../media/image36.png"/><Relationship Id="rId50" Type="http://schemas.openxmlformats.org/officeDocument/2006/relationships/image" Target="../media/image52.png"/><Relationship Id="rId55" Type="http://schemas.openxmlformats.org/officeDocument/2006/relationships/image" Target="../media/image57.png"/><Relationship Id="rId76" Type="http://schemas.openxmlformats.org/officeDocument/2006/relationships/image" Target="../media/image78.png"/><Relationship Id="rId7" Type="http://schemas.openxmlformats.org/officeDocument/2006/relationships/image" Target="../media/image9.png"/><Relationship Id="rId71" Type="http://schemas.openxmlformats.org/officeDocument/2006/relationships/image" Target="../media/image73.png"/><Relationship Id="rId92" Type="http://schemas.openxmlformats.org/officeDocument/2006/relationships/image" Target="../media/image94.png"/><Relationship Id="rId2" Type="http://schemas.openxmlformats.org/officeDocument/2006/relationships/image" Target="../media/image4.png"/><Relationship Id="rId29" Type="http://schemas.openxmlformats.org/officeDocument/2006/relationships/image" Target="../media/image31.png"/><Relationship Id="rId24" Type="http://schemas.openxmlformats.org/officeDocument/2006/relationships/image" Target="../media/image26.png"/><Relationship Id="rId40" Type="http://schemas.openxmlformats.org/officeDocument/2006/relationships/image" Target="../media/image42.png"/><Relationship Id="rId45" Type="http://schemas.openxmlformats.org/officeDocument/2006/relationships/image" Target="../media/image47.png"/><Relationship Id="rId66" Type="http://schemas.openxmlformats.org/officeDocument/2006/relationships/image" Target="../media/image68.png"/><Relationship Id="rId87" Type="http://schemas.openxmlformats.org/officeDocument/2006/relationships/image" Target="../media/image89.png"/><Relationship Id="rId61" Type="http://schemas.openxmlformats.org/officeDocument/2006/relationships/image" Target="../media/image63.png"/><Relationship Id="rId82" Type="http://schemas.openxmlformats.org/officeDocument/2006/relationships/image" Target="../media/image84.png"/><Relationship Id="rId19" Type="http://schemas.openxmlformats.org/officeDocument/2006/relationships/image" Target="../media/image21.png"/><Relationship Id="rId14" Type="http://schemas.openxmlformats.org/officeDocument/2006/relationships/image" Target="../media/image16.png"/><Relationship Id="rId30" Type="http://schemas.openxmlformats.org/officeDocument/2006/relationships/image" Target="../media/image32.png"/><Relationship Id="rId35" Type="http://schemas.openxmlformats.org/officeDocument/2006/relationships/image" Target="../media/image37.png"/><Relationship Id="rId56" Type="http://schemas.openxmlformats.org/officeDocument/2006/relationships/image" Target="../media/image58.png"/><Relationship Id="rId77" Type="http://schemas.openxmlformats.org/officeDocument/2006/relationships/image" Target="../media/image7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1605915</xdr:colOff>
      <xdr:row>279</xdr:row>
      <xdr:rowOff>68580</xdr:rowOff>
    </xdr:from>
    <xdr:to>
      <xdr:col>3</xdr:col>
      <xdr:colOff>1122276</xdr:colOff>
      <xdr:row>282</xdr:row>
      <xdr:rowOff>38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2254282A-AA83-5E9E-66C1-3BEDC274AA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311515" y="48427005"/>
          <a:ext cx="2671041" cy="438188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80</xdr:row>
      <xdr:rowOff>0</xdr:rowOff>
    </xdr:from>
    <xdr:to>
      <xdr:col>0</xdr:col>
      <xdr:colOff>1516380</xdr:colOff>
      <xdr:row>81</xdr:row>
      <xdr:rowOff>30480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5BF9EAE-1508-67A3-9937-35FA98BE76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4409420"/>
          <a:ext cx="1516380" cy="2057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87</xdr:row>
      <xdr:rowOff>0</xdr:rowOff>
    </xdr:from>
    <xdr:to>
      <xdr:col>0</xdr:col>
      <xdr:colOff>2011680</xdr:colOff>
      <xdr:row>88</xdr:row>
      <xdr:rowOff>30480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BF5EF72-FAAF-8111-7DE9-2158B6B1E5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674340"/>
          <a:ext cx="2011680" cy="2057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169</xdr:row>
      <xdr:rowOff>0</xdr:rowOff>
    </xdr:from>
    <xdr:to>
      <xdr:col>0</xdr:col>
      <xdr:colOff>182880</xdr:colOff>
      <xdr:row>170</xdr:row>
      <xdr:rowOff>30480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ED45E98B-E55D-0D59-EEC7-355DA3A60E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9306520"/>
          <a:ext cx="182880" cy="2057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348615</xdr:colOff>
      <xdr:row>217</xdr:row>
      <xdr:rowOff>135255</xdr:rowOff>
    </xdr:from>
    <xdr:to>
      <xdr:col>3</xdr:col>
      <xdr:colOff>1086183</xdr:colOff>
      <xdr:row>223</xdr:row>
      <xdr:rowOff>91525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DAA3E9D0-733F-D864-C182-DCF6FA7E62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054215" y="37863780"/>
          <a:ext cx="3877008" cy="988780"/>
        </a:xfrm>
        <a:prstGeom prst="rect">
          <a:avLst/>
        </a:prstGeom>
      </xdr:spPr>
    </xdr:pic>
    <xdr:clientData/>
  </xdr:twoCellAnchor>
  <xdr:twoCellAnchor>
    <xdr:from>
      <xdr:col>0</xdr:col>
      <xdr:colOff>182880</xdr:colOff>
      <xdr:row>217</xdr:row>
      <xdr:rowOff>161925</xdr:rowOff>
    </xdr:from>
    <xdr:to>
      <xdr:col>0</xdr:col>
      <xdr:colOff>1950720</xdr:colOff>
      <xdr:row>220</xdr:row>
      <xdr:rowOff>78105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B79E43E7-3D77-004D-81B8-7A7FCE7586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" y="37890450"/>
          <a:ext cx="1767840" cy="43053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160020</xdr:colOff>
      <xdr:row>221</xdr:row>
      <xdr:rowOff>38100</xdr:rowOff>
    </xdr:from>
    <xdr:to>
      <xdr:col>0</xdr:col>
      <xdr:colOff>2072640</xdr:colOff>
      <xdr:row>223</xdr:row>
      <xdr:rowOff>123825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E83AA340-CE15-DA2E-9501-6FC665A512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" y="38452425"/>
          <a:ext cx="1912620" cy="428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2935605</xdr:colOff>
      <xdr:row>218</xdr:row>
      <xdr:rowOff>123825</xdr:rowOff>
    </xdr:from>
    <xdr:to>
      <xdr:col>0</xdr:col>
      <xdr:colOff>3850005</xdr:colOff>
      <xdr:row>219</xdr:row>
      <xdr:rowOff>152400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F1563F02-94F6-248A-64F7-B66232D5D2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35605" y="38023800"/>
          <a:ext cx="914400" cy="200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2967990</xdr:colOff>
      <xdr:row>221</xdr:row>
      <xdr:rowOff>68580</xdr:rowOff>
    </xdr:from>
    <xdr:to>
      <xdr:col>0</xdr:col>
      <xdr:colOff>3825240</xdr:colOff>
      <xdr:row>222</xdr:row>
      <xdr:rowOff>93345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71BE019A-41D5-79B8-8393-A47C77AB73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67990" y="38482905"/>
          <a:ext cx="857250" cy="19621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428625</xdr:colOff>
      <xdr:row>219</xdr:row>
      <xdr:rowOff>38100</xdr:rowOff>
    </xdr:from>
    <xdr:to>
      <xdr:col>1</xdr:col>
      <xdr:colOff>2409825</xdr:colOff>
      <xdr:row>222</xdr:row>
      <xdr:rowOff>57150</xdr:rowOff>
    </xdr:to>
    <xdr:sp macro="" textlink="">
      <xdr:nvSpPr>
        <xdr:cNvPr id="10" name="Arrow: Right 9">
          <a:extLst>
            <a:ext uri="{FF2B5EF4-FFF2-40B4-BE49-F238E27FC236}">
              <a16:creationId xmlns:a16="http://schemas.microsoft.com/office/drawing/2014/main" id="{3D00006A-0CFC-FFDD-107D-ADCCCC744813}"/>
            </a:ext>
          </a:extLst>
        </xdr:cNvPr>
        <xdr:cNvSpPr/>
      </xdr:nvSpPr>
      <xdr:spPr>
        <a:xfrm>
          <a:off x="4686300" y="38109525"/>
          <a:ext cx="1981200" cy="533400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vi-VN" sz="1100"/>
        </a:p>
      </xdr:txBody>
    </xdr:sp>
    <xdr:clientData/>
  </xdr:twoCellAnchor>
  <xdr:twoCellAnchor>
    <xdr:from>
      <xdr:col>0</xdr:col>
      <xdr:colOff>220979</xdr:colOff>
      <xdr:row>226</xdr:row>
      <xdr:rowOff>142875</xdr:rowOff>
    </xdr:from>
    <xdr:to>
      <xdr:col>0</xdr:col>
      <xdr:colOff>658261</xdr:colOff>
      <xdr:row>228</xdr:row>
      <xdr:rowOff>11430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F7B203D2-296A-FFFE-C852-62772CD6C8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0979" y="39243000"/>
          <a:ext cx="437282" cy="2114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257175</xdr:colOff>
      <xdr:row>230</xdr:row>
      <xdr:rowOff>110490</xdr:rowOff>
    </xdr:from>
    <xdr:to>
      <xdr:col>0</xdr:col>
      <xdr:colOff>611505</xdr:colOff>
      <xdr:row>231</xdr:row>
      <xdr:rowOff>148590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7E03FB65-02E5-241C-C099-86B511B5C1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7175" y="39896415"/>
          <a:ext cx="35433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457201</xdr:colOff>
      <xdr:row>223</xdr:row>
      <xdr:rowOff>72390</xdr:rowOff>
    </xdr:from>
    <xdr:to>
      <xdr:col>7</xdr:col>
      <xdr:colOff>703210</xdr:colOff>
      <xdr:row>231</xdr:row>
      <xdr:rowOff>38253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F09EA307-5323-4180-9B54-7695DBC191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306051" y="38829615"/>
          <a:ext cx="6317244" cy="1337463"/>
        </a:xfrm>
        <a:prstGeom prst="rect">
          <a:avLst/>
        </a:prstGeom>
      </xdr:spPr>
    </xdr:pic>
    <xdr:clientData/>
  </xdr:twoCellAnchor>
  <xdr:twoCellAnchor editAs="oneCell">
    <xdr:from>
      <xdr:col>2</xdr:col>
      <xdr:colOff>790575</xdr:colOff>
      <xdr:row>246</xdr:row>
      <xdr:rowOff>66675</xdr:rowOff>
    </xdr:from>
    <xdr:to>
      <xdr:col>2</xdr:col>
      <xdr:colOff>2874827</xdr:colOff>
      <xdr:row>249</xdr:row>
      <xdr:rowOff>17186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74455A0A-E237-2770-C986-7F0F90EFF5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7496175" y="42767250"/>
          <a:ext cx="2095682" cy="476291"/>
        </a:xfrm>
        <a:prstGeom prst="rect">
          <a:avLst/>
        </a:prstGeom>
      </xdr:spPr>
    </xdr:pic>
    <xdr:clientData/>
  </xdr:twoCellAnchor>
  <xdr:twoCellAnchor editAs="oneCell">
    <xdr:from>
      <xdr:col>2</xdr:col>
      <xdr:colOff>3114675</xdr:colOff>
      <xdr:row>253</xdr:row>
      <xdr:rowOff>9525</xdr:rowOff>
    </xdr:from>
    <xdr:to>
      <xdr:col>6</xdr:col>
      <xdr:colOff>246215</xdr:colOff>
      <xdr:row>255</xdr:row>
      <xdr:rowOff>95286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24710BF6-248F-70E3-CCAC-E9467719F5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9820275" y="43910250"/>
          <a:ext cx="5422100" cy="419136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270</xdr:row>
      <xdr:rowOff>0</xdr:rowOff>
    </xdr:from>
    <xdr:to>
      <xdr:col>0</xdr:col>
      <xdr:colOff>297180</xdr:colOff>
      <xdr:row>271</xdr:row>
      <xdr:rowOff>30480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B45808C3-FF4C-7E39-6CE7-014F075369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800260"/>
          <a:ext cx="297180" cy="2057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272</xdr:row>
      <xdr:rowOff>0</xdr:rowOff>
    </xdr:from>
    <xdr:to>
      <xdr:col>0</xdr:col>
      <xdr:colOff>548640</xdr:colOff>
      <xdr:row>273</xdr:row>
      <xdr:rowOff>30480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F30B5F2D-FD56-3DB9-5697-E7B9F3E951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8150780"/>
          <a:ext cx="548640" cy="2057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274</xdr:row>
      <xdr:rowOff>0</xdr:rowOff>
    </xdr:from>
    <xdr:to>
      <xdr:col>0</xdr:col>
      <xdr:colOff>601980</xdr:colOff>
      <xdr:row>275</xdr:row>
      <xdr:rowOff>30480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BE4540D3-7141-E197-1D2F-FA6654B2F9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8501300"/>
          <a:ext cx="601980" cy="2057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275</xdr:row>
      <xdr:rowOff>0</xdr:rowOff>
    </xdr:from>
    <xdr:to>
      <xdr:col>0</xdr:col>
      <xdr:colOff>601980</xdr:colOff>
      <xdr:row>276</xdr:row>
      <xdr:rowOff>30480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8EA65F53-93E4-06BD-4F54-C9569F135A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8676560"/>
          <a:ext cx="601980" cy="2057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285</xdr:row>
      <xdr:rowOff>0</xdr:rowOff>
    </xdr:from>
    <xdr:to>
      <xdr:col>0</xdr:col>
      <xdr:colOff>198120</xdr:colOff>
      <xdr:row>286</xdr:row>
      <xdr:rowOff>30480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AD8D27F1-2ACD-7C57-F2E6-F61A62F908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9552860"/>
          <a:ext cx="198120" cy="2057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1758315</xdr:colOff>
      <xdr:row>277</xdr:row>
      <xdr:rowOff>120015</xdr:rowOff>
    </xdr:from>
    <xdr:to>
      <xdr:col>6</xdr:col>
      <xdr:colOff>472772</xdr:colOff>
      <xdr:row>283</xdr:row>
      <xdr:rowOff>77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D80EF8AE-1A4A-240B-C44C-59858448AB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1607165" y="48135540"/>
          <a:ext cx="3842717" cy="899237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280</xdr:row>
      <xdr:rowOff>0</xdr:rowOff>
    </xdr:from>
    <xdr:to>
      <xdr:col>0</xdr:col>
      <xdr:colOff>266700</xdr:colOff>
      <xdr:row>281</xdr:row>
      <xdr:rowOff>30480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098CD47C-6CCE-331F-1B7A-B20BE3F701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9552860"/>
          <a:ext cx="266700" cy="2057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281</xdr:row>
      <xdr:rowOff>0</xdr:rowOff>
    </xdr:from>
    <xdr:to>
      <xdr:col>0</xdr:col>
      <xdr:colOff>266700</xdr:colOff>
      <xdr:row>282</xdr:row>
      <xdr:rowOff>30480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7DBF9809-E3EF-3D75-9B37-52E225D75E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9728120"/>
          <a:ext cx="266700" cy="2057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282</xdr:row>
      <xdr:rowOff>0</xdr:rowOff>
    </xdr:from>
    <xdr:to>
      <xdr:col>0</xdr:col>
      <xdr:colOff>274320</xdr:colOff>
      <xdr:row>283</xdr:row>
      <xdr:rowOff>53340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CB84B237-E690-AAD4-AEED-474B00FE27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9903380"/>
          <a:ext cx="27432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520065</xdr:colOff>
      <xdr:row>284</xdr:row>
      <xdr:rowOff>5715</xdr:rowOff>
    </xdr:from>
    <xdr:to>
      <xdr:col>3</xdr:col>
      <xdr:colOff>207891</xdr:colOff>
      <xdr:row>287</xdr:row>
      <xdr:rowOff>97208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4B95F10D-EACF-3399-BA31-7ADA4E5E0F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7225665" y="50259615"/>
          <a:ext cx="2848221" cy="613463"/>
        </a:xfrm>
        <a:prstGeom prst="rect">
          <a:avLst/>
        </a:prstGeom>
      </xdr:spPr>
    </xdr:pic>
    <xdr:clientData/>
  </xdr:twoCellAnchor>
  <xdr:twoCellAnchor editAs="oneCell">
    <xdr:from>
      <xdr:col>2</xdr:col>
      <xdr:colOff>868680</xdr:colOff>
      <xdr:row>297</xdr:row>
      <xdr:rowOff>72390</xdr:rowOff>
    </xdr:from>
    <xdr:to>
      <xdr:col>5</xdr:col>
      <xdr:colOff>208206</xdr:colOff>
      <xdr:row>336</xdr:row>
      <xdr:rowOff>586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A929E7B5-BD6D-A0BB-5D4E-646D15C33F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9450705" y="51516915"/>
          <a:ext cx="6464226" cy="661093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357</xdr:row>
      <xdr:rowOff>9525</xdr:rowOff>
    </xdr:from>
    <xdr:to>
      <xdr:col>0</xdr:col>
      <xdr:colOff>3962743</xdr:colOff>
      <xdr:row>361</xdr:row>
      <xdr:rowOff>21016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B6DA46C7-E958-6608-CFD2-C9AE1BAC6D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0" y="61236225"/>
          <a:ext cx="3962743" cy="704911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355</xdr:row>
      <xdr:rowOff>0</xdr:rowOff>
    </xdr:from>
    <xdr:to>
      <xdr:col>0</xdr:col>
      <xdr:colOff>182880</xdr:colOff>
      <xdr:row>356</xdr:row>
      <xdr:rowOff>30480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0A258AF1-39FE-0F86-DCB9-74B152521C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2179200"/>
          <a:ext cx="182880" cy="2057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2800350</xdr:colOff>
      <xdr:row>355</xdr:row>
      <xdr:rowOff>9525</xdr:rowOff>
    </xdr:from>
    <xdr:to>
      <xdr:col>2</xdr:col>
      <xdr:colOff>3095625</xdr:colOff>
      <xdr:row>356</xdr:row>
      <xdr:rowOff>38100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5D42E70E-F0E4-238B-155B-5966EBEDEA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05950" y="60893325"/>
          <a:ext cx="295275" cy="200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1552575</xdr:colOff>
      <xdr:row>363</xdr:row>
      <xdr:rowOff>19050</xdr:rowOff>
    </xdr:from>
    <xdr:to>
      <xdr:col>4</xdr:col>
      <xdr:colOff>821462</xdr:colOff>
      <xdr:row>368</xdr:row>
      <xdr:rowOff>95331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1C58CF17-5D2F-995E-1C58-57C9D48D32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0134600" y="62617350"/>
          <a:ext cx="4703852" cy="929721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378</xdr:row>
      <xdr:rowOff>0</xdr:rowOff>
    </xdr:from>
    <xdr:to>
      <xdr:col>0</xdr:col>
      <xdr:colOff>228600</xdr:colOff>
      <xdr:row>379</xdr:row>
      <xdr:rowOff>30480</xdr:rowOff>
    </xdr:to>
    <xdr:pic>
      <xdr:nvPicPr>
        <xdr:cNvPr id="34" name="Picture 33">
          <a:extLst>
            <a:ext uri="{FF2B5EF4-FFF2-40B4-BE49-F238E27FC236}">
              <a16:creationId xmlns:a16="http://schemas.microsoft.com/office/drawing/2014/main" id="{93F68DF0-21C5-A663-504D-F0B7178CC6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6743580"/>
          <a:ext cx="228600" cy="2057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380</xdr:row>
      <xdr:rowOff>0</xdr:rowOff>
    </xdr:from>
    <xdr:to>
      <xdr:col>0</xdr:col>
      <xdr:colOff>228600</xdr:colOff>
      <xdr:row>381</xdr:row>
      <xdr:rowOff>30480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9173B798-0792-3999-3FE4-295E6DE0FE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9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7094100"/>
          <a:ext cx="228600" cy="2057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1190625</xdr:colOff>
      <xdr:row>385</xdr:row>
      <xdr:rowOff>159575</xdr:rowOff>
    </xdr:from>
    <xdr:to>
      <xdr:col>0</xdr:col>
      <xdr:colOff>4497705</xdr:colOff>
      <xdr:row>388</xdr:row>
      <xdr:rowOff>57194</xdr:rowOff>
    </xdr:to>
    <xdr:pic>
      <xdr:nvPicPr>
        <xdr:cNvPr id="36" name="Picture 35">
          <a:extLst>
            <a:ext uri="{FF2B5EF4-FFF2-40B4-BE49-F238E27FC236}">
              <a16:creationId xmlns:a16="http://schemas.microsoft.com/office/drawing/2014/main" id="{288AE920-A656-6089-0303-8810D963EB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1190625" y="66710750"/>
          <a:ext cx="3307080" cy="402444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393</xdr:row>
      <xdr:rowOff>0</xdr:rowOff>
    </xdr:from>
    <xdr:to>
      <xdr:col>0</xdr:col>
      <xdr:colOff>426720</xdr:colOff>
      <xdr:row>394</xdr:row>
      <xdr:rowOff>30480</xdr:rowOff>
    </xdr:to>
    <xdr:pic>
      <xdr:nvPicPr>
        <xdr:cNvPr id="37" name="Picture 36">
          <a:extLst>
            <a:ext uri="{FF2B5EF4-FFF2-40B4-BE49-F238E27FC236}">
              <a16:creationId xmlns:a16="http://schemas.microsoft.com/office/drawing/2014/main" id="{AFC62AB2-9723-25F8-3B4A-446BC574A8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9372480"/>
          <a:ext cx="426720" cy="2057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1314450</xdr:colOff>
      <xdr:row>394</xdr:row>
      <xdr:rowOff>19050</xdr:rowOff>
    </xdr:from>
    <xdr:to>
      <xdr:col>0</xdr:col>
      <xdr:colOff>4972366</xdr:colOff>
      <xdr:row>396</xdr:row>
      <xdr:rowOff>129580</xdr:rowOff>
    </xdr:to>
    <xdr:pic>
      <xdr:nvPicPr>
        <xdr:cNvPr id="38" name="Picture 37">
          <a:extLst>
            <a:ext uri="{FF2B5EF4-FFF2-40B4-BE49-F238E27FC236}">
              <a16:creationId xmlns:a16="http://schemas.microsoft.com/office/drawing/2014/main" id="{7BA46608-ECDE-9717-BC9C-1B85A5837B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314450" y="68113275"/>
          <a:ext cx="3644581" cy="45724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397</xdr:row>
      <xdr:rowOff>0</xdr:rowOff>
    </xdr:from>
    <xdr:to>
      <xdr:col>0</xdr:col>
      <xdr:colOff>480060</xdr:colOff>
      <xdr:row>398</xdr:row>
      <xdr:rowOff>30480</xdr:rowOff>
    </xdr:to>
    <xdr:pic>
      <xdr:nvPicPr>
        <xdr:cNvPr id="39" name="Picture 38">
          <a:extLst>
            <a:ext uri="{FF2B5EF4-FFF2-40B4-BE49-F238E27FC236}">
              <a16:creationId xmlns:a16="http://schemas.microsoft.com/office/drawing/2014/main" id="{7E5530B2-2416-0F93-7555-5390798D88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3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0073520"/>
          <a:ext cx="480060" cy="2057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398</xdr:row>
      <xdr:rowOff>0</xdr:rowOff>
    </xdr:from>
    <xdr:to>
      <xdr:col>0</xdr:col>
      <xdr:colOff>480060</xdr:colOff>
      <xdr:row>399</xdr:row>
      <xdr:rowOff>30480</xdr:rowOff>
    </xdr:to>
    <xdr:pic>
      <xdr:nvPicPr>
        <xdr:cNvPr id="40" name="Picture 39">
          <a:extLst>
            <a:ext uri="{FF2B5EF4-FFF2-40B4-BE49-F238E27FC236}">
              <a16:creationId xmlns:a16="http://schemas.microsoft.com/office/drawing/2014/main" id="{D53EE0C1-E74F-FF3B-E055-9C9B7CE39A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4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0248780"/>
          <a:ext cx="480060" cy="2057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297180</xdr:colOff>
      <xdr:row>416</xdr:row>
      <xdr:rowOff>100965</xdr:rowOff>
    </xdr:from>
    <xdr:to>
      <xdr:col>4</xdr:col>
      <xdr:colOff>55425</xdr:colOff>
      <xdr:row>419</xdr:row>
      <xdr:rowOff>131499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9099960E-C858-6C4A-8CB5-519EA50D3C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12022455" y="72224265"/>
          <a:ext cx="2067105" cy="611559"/>
        </a:xfrm>
        <a:prstGeom prst="rect">
          <a:avLst/>
        </a:prstGeom>
      </xdr:spPr>
    </xdr:pic>
    <xdr:clientData/>
  </xdr:twoCellAnchor>
  <xdr:twoCellAnchor editAs="oneCell">
    <xdr:from>
      <xdr:col>3</xdr:col>
      <xdr:colOff>419100</xdr:colOff>
      <xdr:row>420</xdr:row>
      <xdr:rowOff>49530</xdr:rowOff>
    </xdr:from>
    <xdr:to>
      <xdr:col>4</xdr:col>
      <xdr:colOff>324039</xdr:colOff>
      <xdr:row>424</xdr:row>
      <xdr:rowOff>15303</xdr:rowOff>
    </xdr:to>
    <xdr:pic>
      <xdr:nvPicPr>
        <xdr:cNvPr id="32" name="Picture 31">
          <a:extLst>
            <a:ext uri="{FF2B5EF4-FFF2-40B4-BE49-F238E27FC236}">
              <a16:creationId xmlns:a16="http://schemas.microsoft.com/office/drawing/2014/main" id="{76B1F583-1DC5-8597-7B98-E6C1E1DC3C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12144375" y="72934830"/>
          <a:ext cx="2190939" cy="731583"/>
        </a:xfrm>
        <a:prstGeom prst="rect">
          <a:avLst/>
        </a:prstGeom>
      </xdr:spPr>
    </xdr:pic>
    <xdr:clientData/>
  </xdr:twoCellAnchor>
  <xdr:twoCellAnchor editAs="oneCell">
    <xdr:from>
      <xdr:col>2</xdr:col>
      <xdr:colOff>666750</xdr:colOff>
      <xdr:row>407</xdr:row>
      <xdr:rowOff>24765</xdr:rowOff>
    </xdr:from>
    <xdr:to>
      <xdr:col>2</xdr:col>
      <xdr:colOff>2629070</xdr:colOff>
      <xdr:row>409</xdr:row>
      <xdr:rowOff>186738</xdr:rowOff>
    </xdr:to>
    <xdr:pic>
      <xdr:nvPicPr>
        <xdr:cNvPr id="41" name="Picture 40">
          <a:extLst>
            <a:ext uri="{FF2B5EF4-FFF2-40B4-BE49-F238E27FC236}">
              <a16:creationId xmlns:a16="http://schemas.microsoft.com/office/drawing/2014/main" id="{FDD63A37-3CC6-6588-2B7A-5ED718B8F9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9248775" y="70433565"/>
          <a:ext cx="1962320" cy="542973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426</xdr:row>
      <xdr:rowOff>0</xdr:rowOff>
    </xdr:from>
    <xdr:to>
      <xdr:col>0</xdr:col>
      <xdr:colOff>769620</xdr:colOff>
      <xdr:row>428</xdr:row>
      <xdr:rowOff>160020</xdr:rowOff>
    </xdr:to>
    <xdr:pic>
      <xdr:nvPicPr>
        <xdr:cNvPr id="43" name="Picture 42">
          <a:extLst>
            <a:ext uri="{FF2B5EF4-FFF2-40B4-BE49-F238E27FC236}">
              <a16:creationId xmlns:a16="http://schemas.microsoft.com/office/drawing/2014/main" id="{0B42F046-A29A-1677-AD2A-9A596B3930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8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5514200"/>
          <a:ext cx="769620" cy="5105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430</xdr:row>
      <xdr:rowOff>0</xdr:rowOff>
    </xdr:from>
    <xdr:to>
      <xdr:col>0</xdr:col>
      <xdr:colOff>243840</xdr:colOff>
      <xdr:row>431</xdr:row>
      <xdr:rowOff>72390</xdr:rowOff>
    </xdr:to>
    <xdr:pic>
      <xdr:nvPicPr>
        <xdr:cNvPr id="44" name="Picture 43">
          <a:extLst>
            <a:ext uri="{FF2B5EF4-FFF2-40B4-BE49-F238E27FC236}">
              <a16:creationId xmlns:a16="http://schemas.microsoft.com/office/drawing/2014/main" id="{5CB6D2FB-D88F-44B5-892F-D776E87C3C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9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4714100"/>
          <a:ext cx="243840" cy="2438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432</xdr:row>
      <xdr:rowOff>0</xdr:rowOff>
    </xdr:from>
    <xdr:to>
      <xdr:col>0</xdr:col>
      <xdr:colOff>251460</xdr:colOff>
      <xdr:row>433</xdr:row>
      <xdr:rowOff>76200</xdr:rowOff>
    </xdr:to>
    <xdr:pic>
      <xdr:nvPicPr>
        <xdr:cNvPr id="45" name="Picture 44">
          <a:extLst>
            <a:ext uri="{FF2B5EF4-FFF2-40B4-BE49-F238E27FC236}">
              <a16:creationId xmlns:a16="http://schemas.microsoft.com/office/drawing/2014/main" id="{ACDA624A-C868-CC11-AF41-5E1D369231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0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6581000"/>
          <a:ext cx="251460" cy="2514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418</xdr:row>
      <xdr:rowOff>0</xdr:rowOff>
    </xdr:from>
    <xdr:to>
      <xdr:col>0</xdr:col>
      <xdr:colOff>167640</xdr:colOff>
      <xdr:row>419</xdr:row>
      <xdr:rowOff>15240</xdr:rowOff>
    </xdr:to>
    <xdr:pic>
      <xdr:nvPicPr>
        <xdr:cNvPr id="46" name="Picture 45">
          <a:extLst>
            <a:ext uri="{FF2B5EF4-FFF2-40B4-BE49-F238E27FC236}">
              <a16:creationId xmlns:a16="http://schemas.microsoft.com/office/drawing/2014/main" id="{A59E46F9-1F37-8F14-679D-0C2931F454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3990200"/>
          <a:ext cx="167640" cy="2057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421</xdr:row>
      <xdr:rowOff>0</xdr:rowOff>
    </xdr:from>
    <xdr:to>
      <xdr:col>0</xdr:col>
      <xdr:colOff>167640</xdr:colOff>
      <xdr:row>422</xdr:row>
      <xdr:rowOff>15240</xdr:rowOff>
    </xdr:to>
    <xdr:pic>
      <xdr:nvPicPr>
        <xdr:cNvPr id="47" name="Picture 46">
          <a:extLst>
            <a:ext uri="{FF2B5EF4-FFF2-40B4-BE49-F238E27FC236}">
              <a16:creationId xmlns:a16="http://schemas.microsoft.com/office/drawing/2014/main" id="{C5799D57-65EB-4396-8D9A-D4EDE0DF22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2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4561700"/>
          <a:ext cx="167640" cy="2057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100965</xdr:colOff>
      <xdr:row>455</xdr:row>
      <xdr:rowOff>49530</xdr:rowOff>
    </xdr:from>
    <xdr:to>
      <xdr:col>2</xdr:col>
      <xdr:colOff>2720566</xdr:colOff>
      <xdr:row>457</xdr:row>
      <xdr:rowOff>131483</xdr:rowOff>
    </xdr:to>
    <xdr:pic>
      <xdr:nvPicPr>
        <xdr:cNvPr id="48" name="Picture 47">
          <a:extLst>
            <a:ext uri="{FF2B5EF4-FFF2-40B4-BE49-F238E27FC236}">
              <a16:creationId xmlns:a16="http://schemas.microsoft.com/office/drawing/2014/main" id="{60BD924D-D7CE-2B72-C40A-BF79190A8B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8682990" y="79097505"/>
          <a:ext cx="2611981" cy="438188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458</xdr:row>
      <xdr:rowOff>0</xdr:rowOff>
    </xdr:from>
    <xdr:to>
      <xdr:col>1</xdr:col>
      <xdr:colOff>198120</xdr:colOff>
      <xdr:row>459</xdr:row>
      <xdr:rowOff>30480</xdr:rowOff>
    </xdr:to>
    <xdr:pic>
      <xdr:nvPicPr>
        <xdr:cNvPr id="49" name="Picture 48">
          <a:extLst>
            <a:ext uri="{FF2B5EF4-FFF2-40B4-BE49-F238E27FC236}">
              <a16:creationId xmlns:a16="http://schemas.microsoft.com/office/drawing/2014/main" id="{F3922C97-F4CB-8D7B-2A45-47E9B7013A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4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34100" y="81160620"/>
          <a:ext cx="198120" cy="2057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2741295</xdr:colOff>
      <xdr:row>498</xdr:row>
      <xdr:rowOff>150495</xdr:rowOff>
    </xdr:from>
    <xdr:to>
      <xdr:col>5</xdr:col>
      <xdr:colOff>550545</xdr:colOff>
      <xdr:row>503</xdr:row>
      <xdr:rowOff>93414</xdr:rowOff>
    </xdr:to>
    <xdr:pic>
      <xdr:nvPicPr>
        <xdr:cNvPr id="42" name="Picture 41">
          <a:extLst>
            <a:ext uri="{FF2B5EF4-FFF2-40B4-BE49-F238E27FC236}">
              <a16:creationId xmlns:a16="http://schemas.microsoft.com/office/drawing/2014/main" id="{23F3A13E-5E16-BAD6-6EFD-232BF0B535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12113895" y="86570820"/>
          <a:ext cx="4945380" cy="811599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503</xdr:row>
      <xdr:rowOff>0</xdr:rowOff>
    </xdr:from>
    <xdr:to>
      <xdr:col>0</xdr:col>
      <xdr:colOff>213360</xdr:colOff>
      <xdr:row>504</xdr:row>
      <xdr:rowOff>30480</xdr:rowOff>
    </xdr:to>
    <xdr:pic>
      <xdr:nvPicPr>
        <xdr:cNvPr id="50" name="Picture 49">
          <a:extLst>
            <a:ext uri="{FF2B5EF4-FFF2-40B4-BE49-F238E27FC236}">
              <a16:creationId xmlns:a16="http://schemas.microsoft.com/office/drawing/2014/main" id="{A89468F4-DCFF-550B-9992-E8959269CA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6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9047320"/>
          <a:ext cx="213360" cy="2057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561975</xdr:colOff>
      <xdr:row>510</xdr:row>
      <xdr:rowOff>142875</xdr:rowOff>
    </xdr:from>
    <xdr:to>
      <xdr:col>4</xdr:col>
      <xdr:colOff>1086366</xdr:colOff>
      <xdr:row>516</xdr:row>
      <xdr:rowOff>91524</xdr:rowOff>
    </xdr:to>
    <xdr:pic>
      <xdr:nvPicPr>
        <xdr:cNvPr id="51" name="Picture 50">
          <a:extLst>
            <a:ext uri="{FF2B5EF4-FFF2-40B4-BE49-F238E27FC236}">
              <a16:creationId xmlns:a16="http://schemas.microsoft.com/office/drawing/2014/main" id="{77A71DB6-205F-00E2-C4EF-AAE49D5AC6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9934575" y="88620600"/>
          <a:ext cx="5955546" cy="967824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527</xdr:row>
      <xdr:rowOff>0</xdr:rowOff>
    </xdr:from>
    <xdr:to>
      <xdr:col>0</xdr:col>
      <xdr:colOff>167640</xdr:colOff>
      <xdr:row>528</xdr:row>
      <xdr:rowOff>30480</xdr:rowOff>
    </xdr:to>
    <xdr:pic>
      <xdr:nvPicPr>
        <xdr:cNvPr id="52" name="Picture 51">
          <a:extLst>
            <a:ext uri="{FF2B5EF4-FFF2-40B4-BE49-F238E27FC236}">
              <a16:creationId xmlns:a16="http://schemas.microsoft.com/office/drawing/2014/main" id="{E69F76AE-299F-B6DB-6BC8-8CFE51CDEC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3253560"/>
          <a:ext cx="167640" cy="2057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528</xdr:row>
      <xdr:rowOff>0</xdr:rowOff>
    </xdr:from>
    <xdr:to>
      <xdr:col>0</xdr:col>
      <xdr:colOff>144780</xdr:colOff>
      <xdr:row>529</xdr:row>
      <xdr:rowOff>30480</xdr:rowOff>
    </xdr:to>
    <xdr:pic>
      <xdr:nvPicPr>
        <xdr:cNvPr id="53" name="Picture 52">
          <a:extLst>
            <a:ext uri="{FF2B5EF4-FFF2-40B4-BE49-F238E27FC236}">
              <a16:creationId xmlns:a16="http://schemas.microsoft.com/office/drawing/2014/main" id="{D8648140-B452-94C9-C2D0-747C1C0A3F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8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3428820"/>
          <a:ext cx="144780" cy="2057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543</xdr:row>
      <xdr:rowOff>0</xdr:rowOff>
    </xdr:from>
    <xdr:to>
      <xdr:col>0</xdr:col>
      <xdr:colOff>167640</xdr:colOff>
      <xdr:row>544</xdr:row>
      <xdr:rowOff>30480</xdr:rowOff>
    </xdr:to>
    <xdr:pic>
      <xdr:nvPicPr>
        <xdr:cNvPr id="54" name="Picture 53">
          <a:extLst>
            <a:ext uri="{FF2B5EF4-FFF2-40B4-BE49-F238E27FC236}">
              <a16:creationId xmlns:a16="http://schemas.microsoft.com/office/drawing/2014/main" id="{D05A7A3D-9296-434D-BFA2-84B887DBBD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3253560"/>
          <a:ext cx="167640" cy="2057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544</xdr:row>
      <xdr:rowOff>0</xdr:rowOff>
    </xdr:from>
    <xdr:to>
      <xdr:col>0</xdr:col>
      <xdr:colOff>144780</xdr:colOff>
      <xdr:row>545</xdr:row>
      <xdr:rowOff>30480</xdr:rowOff>
    </xdr:to>
    <xdr:pic>
      <xdr:nvPicPr>
        <xdr:cNvPr id="55" name="Picture 54">
          <a:extLst>
            <a:ext uri="{FF2B5EF4-FFF2-40B4-BE49-F238E27FC236}">
              <a16:creationId xmlns:a16="http://schemas.microsoft.com/office/drawing/2014/main" id="{48DC5D5D-FC0E-4C0B-AD1F-D71917AEC2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8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3428820"/>
          <a:ext cx="144780" cy="2057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547</xdr:row>
      <xdr:rowOff>0</xdr:rowOff>
    </xdr:from>
    <xdr:to>
      <xdr:col>0</xdr:col>
      <xdr:colOff>2495765</xdr:colOff>
      <xdr:row>549</xdr:row>
      <xdr:rowOff>95288</xdr:rowOff>
    </xdr:to>
    <xdr:pic>
      <xdr:nvPicPr>
        <xdr:cNvPr id="56" name="Picture 55">
          <a:extLst>
            <a:ext uri="{FF2B5EF4-FFF2-40B4-BE49-F238E27FC236}">
              <a16:creationId xmlns:a16="http://schemas.microsoft.com/office/drawing/2014/main" id="{EE473826-65B8-AD11-AE94-3B0F4F7F18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0" y="96758760"/>
          <a:ext cx="2484335" cy="434378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552</xdr:row>
      <xdr:rowOff>0</xdr:rowOff>
    </xdr:from>
    <xdr:to>
      <xdr:col>0</xdr:col>
      <xdr:colOff>213360</xdr:colOff>
      <xdr:row>552</xdr:row>
      <xdr:rowOff>15240</xdr:rowOff>
    </xdr:to>
    <xdr:pic>
      <xdr:nvPicPr>
        <xdr:cNvPr id="59" name="Picture 58">
          <a:extLst>
            <a:ext uri="{FF2B5EF4-FFF2-40B4-BE49-F238E27FC236}">
              <a16:creationId xmlns:a16="http://schemas.microsoft.com/office/drawing/2014/main" id="{234B9259-11D1-49AC-438D-7BDF30600A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0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7459800"/>
          <a:ext cx="21336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3764280</xdr:colOff>
      <xdr:row>543</xdr:row>
      <xdr:rowOff>60960</xdr:rowOff>
    </xdr:from>
    <xdr:to>
      <xdr:col>0</xdr:col>
      <xdr:colOff>5924736</xdr:colOff>
      <xdr:row>549</xdr:row>
      <xdr:rowOff>95343</xdr:rowOff>
    </xdr:to>
    <xdr:pic>
      <xdr:nvPicPr>
        <xdr:cNvPr id="61" name="Picture 60">
          <a:extLst>
            <a:ext uri="{FF2B5EF4-FFF2-40B4-BE49-F238E27FC236}">
              <a16:creationId xmlns:a16="http://schemas.microsoft.com/office/drawing/2014/main" id="{6477120A-E325-45A0-03B9-2ED2AD8606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3764280" y="96118680"/>
          <a:ext cx="2149026" cy="1074513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551</xdr:row>
      <xdr:rowOff>0</xdr:rowOff>
    </xdr:from>
    <xdr:to>
      <xdr:col>0</xdr:col>
      <xdr:colOff>243840</xdr:colOff>
      <xdr:row>551</xdr:row>
      <xdr:rowOff>205740</xdr:rowOff>
    </xdr:to>
    <xdr:pic>
      <xdr:nvPicPr>
        <xdr:cNvPr id="63" name="Picture 62">
          <a:extLst>
            <a:ext uri="{FF2B5EF4-FFF2-40B4-BE49-F238E27FC236}">
              <a16:creationId xmlns:a16="http://schemas.microsoft.com/office/drawing/2014/main" id="{1F2D4245-FF4F-D450-7326-D776276DAA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2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7459800"/>
          <a:ext cx="243840" cy="2057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553</xdr:row>
      <xdr:rowOff>0</xdr:rowOff>
    </xdr:from>
    <xdr:to>
      <xdr:col>0</xdr:col>
      <xdr:colOff>228600</xdr:colOff>
      <xdr:row>553</xdr:row>
      <xdr:rowOff>205740</xdr:rowOff>
    </xdr:to>
    <xdr:pic>
      <xdr:nvPicPr>
        <xdr:cNvPr id="64" name="Picture 63">
          <a:extLst>
            <a:ext uri="{FF2B5EF4-FFF2-40B4-BE49-F238E27FC236}">
              <a16:creationId xmlns:a16="http://schemas.microsoft.com/office/drawing/2014/main" id="{6010FF4B-41B8-5120-1965-E687E577A2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3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7848420"/>
          <a:ext cx="228600" cy="2057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555</xdr:row>
      <xdr:rowOff>0</xdr:rowOff>
    </xdr:from>
    <xdr:to>
      <xdr:col>0</xdr:col>
      <xdr:colOff>220980</xdr:colOff>
      <xdr:row>556</xdr:row>
      <xdr:rowOff>15240</xdr:rowOff>
    </xdr:to>
    <xdr:pic>
      <xdr:nvPicPr>
        <xdr:cNvPr id="65" name="Picture 64">
          <a:extLst>
            <a:ext uri="{FF2B5EF4-FFF2-40B4-BE49-F238E27FC236}">
              <a16:creationId xmlns:a16="http://schemas.microsoft.com/office/drawing/2014/main" id="{0A7D01C9-CB61-C721-0FD0-2050BB9076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4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8237040"/>
          <a:ext cx="22098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555</xdr:row>
      <xdr:rowOff>0</xdr:rowOff>
    </xdr:from>
    <xdr:to>
      <xdr:col>2</xdr:col>
      <xdr:colOff>3063505</xdr:colOff>
      <xdr:row>557</xdr:row>
      <xdr:rowOff>57188</xdr:rowOff>
    </xdr:to>
    <xdr:pic>
      <xdr:nvPicPr>
        <xdr:cNvPr id="66" name="Picture 65">
          <a:extLst>
            <a:ext uri="{FF2B5EF4-FFF2-40B4-BE49-F238E27FC236}">
              <a16:creationId xmlns:a16="http://schemas.microsoft.com/office/drawing/2014/main" id="{A369387E-C4D6-9992-15AF-B42BD086DA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9372600" y="98412300"/>
          <a:ext cx="3063505" cy="43437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558</xdr:row>
      <xdr:rowOff>0</xdr:rowOff>
    </xdr:from>
    <xdr:to>
      <xdr:col>0</xdr:col>
      <xdr:colOff>2457662</xdr:colOff>
      <xdr:row>559</xdr:row>
      <xdr:rowOff>114325</xdr:rowOff>
    </xdr:to>
    <xdr:pic>
      <xdr:nvPicPr>
        <xdr:cNvPr id="67" name="Picture 66">
          <a:extLst>
            <a:ext uri="{FF2B5EF4-FFF2-40B4-BE49-F238E27FC236}">
              <a16:creationId xmlns:a16="http://schemas.microsoft.com/office/drawing/2014/main" id="{396DC03C-50E8-7560-ADB1-9FBED15683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0" y="98800920"/>
          <a:ext cx="2446232" cy="28958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561</xdr:row>
      <xdr:rowOff>0</xdr:rowOff>
    </xdr:from>
    <xdr:to>
      <xdr:col>0</xdr:col>
      <xdr:colOff>2453853</xdr:colOff>
      <xdr:row>563</xdr:row>
      <xdr:rowOff>30</xdr:rowOff>
    </xdr:to>
    <xdr:pic>
      <xdr:nvPicPr>
        <xdr:cNvPr id="68" name="Picture 67">
          <a:extLst>
            <a:ext uri="{FF2B5EF4-FFF2-40B4-BE49-F238E27FC236}">
              <a16:creationId xmlns:a16="http://schemas.microsoft.com/office/drawing/2014/main" id="{23A53C7B-34E7-BC81-149A-757EBADC8A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0" y="99326700"/>
          <a:ext cx="2453853" cy="34293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564</xdr:row>
      <xdr:rowOff>0</xdr:rowOff>
    </xdr:from>
    <xdr:to>
      <xdr:col>0</xdr:col>
      <xdr:colOff>198120</xdr:colOff>
      <xdr:row>564</xdr:row>
      <xdr:rowOff>205740</xdr:rowOff>
    </xdr:to>
    <xdr:pic>
      <xdr:nvPicPr>
        <xdr:cNvPr id="69" name="Picture 68">
          <a:extLst>
            <a:ext uri="{FF2B5EF4-FFF2-40B4-BE49-F238E27FC236}">
              <a16:creationId xmlns:a16="http://schemas.microsoft.com/office/drawing/2014/main" id="{FF88A2BD-1767-F021-632E-5E089C2FF8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8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9852480"/>
          <a:ext cx="198120" cy="2057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565</xdr:row>
      <xdr:rowOff>0</xdr:rowOff>
    </xdr:from>
    <xdr:to>
      <xdr:col>0</xdr:col>
      <xdr:colOff>175260</xdr:colOff>
      <xdr:row>566</xdr:row>
      <xdr:rowOff>30480</xdr:rowOff>
    </xdr:to>
    <xdr:pic>
      <xdr:nvPicPr>
        <xdr:cNvPr id="70" name="Picture 69">
          <a:extLst>
            <a:ext uri="{FF2B5EF4-FFF2-40B4-BE49-F238E27FC236}">
              <a16:creationId xmlns:a16="http://schemas.microsoft.com/office/drawing/2014/main" id="{239B5431-8F29-2CF1-2D6E-5074BB582A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9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0065840"/>
          <a:ext cx="175260" cy="2057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572</xdr:row>
      <xdr:rowOff>0</xdr:rowOff>
    </xdr:from>
    <xdr:to>
      <xdr:col>0</xdr:col>
      <xdr:colOff>160020</xdr:colOff>
      <xdr:row>572</xdr:row>
      <xdr:rowOff>205740</xdr:rowOff>
    </xdr:to>
    <xdr:pic>
      <xdr:nvPicPr>
        <xdr:cNvPr id="71" name="Picture 70">
          <a:extLst>
            <a:ext uri="{FF2B5EF4-FFF2-40B4-BE49-F238E27FC236}">
              <a16:creationId xmlns:a16="http://schemas.microsoft.com/office/drawing/2014/main" id="{6E283639-1515-BB09-92CF-2EDD1B82B5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0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1117400"/>
          <a:ext cx="160020" cy="2057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573</xdr:row>
      <xdr:rowOff>0</xdr:rowOff>
    </xdr:from>
    <xdr:to>
      <xdr:col>0</xdr:col>
      <xdr:colOff>133350</xdr:colOff>
      <xdr:row>574</xdr:row>
      <xdr:rowOff>0</xdr:rowOff>
    </xdr:to>
    <xdr:pic>
      <xdr:nvPicPr>
        <xdr:cNvPr id="72" name="Picture 71">
          <a:extLst>
            <a:ext uri="{FF2B5EF4-FFF2-40B4-BE49-F238E27FC236}">
              <a16:creationId xmlns:a16="http://schemas.microsoft.com/office/drawing/2014/main" id="{747A5485-BA75-9847-1510-8AD88AEEF4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9469575"/>
          <a:ext cx="1333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575</xdr:row>
      <xdr:rowOff>0</xdr:rowOff>
    </xdr:from>
    <xdr:to>
      <xdr:col>0</xdr:col>
      <xdr:colOff>464820</xdr:colOff>
      <xdr:row>576</xdr:row>
      <xdr:rowOff>30480</xdr:rowOff>
    </xdr:to>
    <xdr:pic>
      <xdr:nvPicPr>
        <xdr:cNvPr id="75" name="Picture 74">
          <a:extLst>
            <a:ext uri="{FF2B5EF4-FFF2-40B4-BE49-F238E27FC236}">
              <a16:creationId xmlns:a16="http://schemas.microsoft.com/office/drawing/2014/main" id="{782108F2-0004-7E94-11AA-D1F81EC65E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2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1719380"/>
          <a:ext cx="464820" cy="2057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576</xdr:row>
      <xdr:rowOff>0</xdr:rowOff>
    </xdr:from>
    <xdr:to>
      <xdr:col>0</xdr:col>
      <xdr:colOff>388620</xdr:colOff>
      <xdr:row>577</xdr:row>
      <xdr:rowOff>30480</xdr:rowOff>
    </xdr:to>
    <xdr:pic>
      <xdr:nvPicPr>
        <xdr:cNvPr id="77" name="Picture 76">
          <a:extLst>
            <a:ext uri="{FF2B5EF4-FFF2-40B4-BE49-F238E27FC236}">
              <a16:creationId xmlns:a16="http://schemas.microsoft.com/office/drawing/2014/main" id="{1BCA4DE1-893F-91EC-9AC1-A101B644CA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3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1894640"/>
          <a:ext cx="388620" cy="2057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578</xdr:row>
      <xdr:rowOff>0</xdr:rowOff>
    </xdr:from>
    <xdr:to>
      <xdr:col>0</xdr:col>
      <xdr:colOff>312420</xdr:colOff>
      <xdr:row>579</xdr:row>
      <xdr:rowOff>15240</xdr:rowOff>
    </xdr:to>
    <xdr:pic>
      <xdr:nvPicPr>
        <xdr:cNvPr id="78" name="Picture 77">
          <a:extLst>
            <a:ext uri="{FF2B5EF4-FFF2-40B4-BE49-F238E27FC236}">
              <a16:creationId xmlns:a16="http://schemas.microsoft.com/office/drawing/2014/main" id="{B4F1D6EB-77B9-FB21-FD0E-FC2DEB752E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4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2245160"/>
          <a:ext cx="31242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579</xdr:row>
      <xdr:rowOff>0</xdr:rowOff>
    </xdr:from>
    <xdr:to>
      <xdr:col>0</xdr:col>
      <xdr:colOff>297180</xdr:colOff>
      <xdr:row>580</xdr:row>
      <xdr:rowOff>53340</xdr:rowOff>
    </xdr:to>
    <xdr:pic>
      <xdr:nvPicPr>
        <xdr:cNvPr id="79" name="Picture 78">
          <a:extLst>
            <a:ext uri="{FF2B5EF4-FFF2-40B4-BE49-F238E27FC236}">
              <a16:creationId xmlns:a16="http://schemas.microsoft.com/office/drawing/2014/main" id="{C71F486D-9738-386C-4F4B-716AFE1A9A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5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2458520"/>
          <a:ext cx="29718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129540</xdr:colOff>
      <xdr:row>578</xdr:row>
      <xdr:rowOff>0</xdr:rowOff>
    </xdr:from>
    <xdr:to>
      <xdr:col>2</xdr:col>
      <xdr:colOff>2230938</xdr:colOff>
      <xdr:row>580</xdr:row>
      <xdr:rowOff>57188</xdr:rowOff>
    </xdr:to>
    <xdr:pic>
      <xdr:nvPicPr>
        <xdr:cNvPr id="80" name="Picture 79">
          <a:extLst>
            <a:ext uri="{FF2B5EF4-FFF2-40B4-BE49-F238E27FC236}">
              <a16:creationId xmlns:a16="http://schemas.microsoft.com/office/drawing/2014/main" id="{CF0074B6-593C-556D-6FB5-8353BB0523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9502140" y="102245160"/>
          <a:ext cx="2110923" cy="434378"/>
        </a:xfrm>
        <a:prstGeom prst="rect">
          <a:avLst/>
        </a:prstGeom>
      </xdr:spPr>
    </xdr:pic>
    <xdr:clientData/>
  </xdr:twoCellAnchor>
  <xdr:twoCellAnchor editAs="oneCell">
    <xdr:from>
      <xdr:col>2</xdr:col>
      <xdr:colOff>15240</xdr:colOff>
      <xdr:row>581</xdr:row>
      <xdr:rowOff>15240</xdr:rowOff>
    </xdr:from>
    <xdr:to>
      <xdr:col>3</xdr:col>
      <xdr:colOff>971905</xdr:colOff>
      <xdr:row>583</xdr:row>
      <xdr:rowOff>91478</xdr:rowOff>
    </xdr:to>
    <xdr:pic>
      <xdr:nvPicPr>
        <xdr:cNvPr id="84" name="Picture 83">
          <a:extLst>
            <a:ext uri="{FF2B5EF4-FFF2-40B4-BE49-F238E27FC236}">
              <a16:creationId xmlns:a16="http://schemas.microsoft.com/office/drawing/2014/main" id="{DCCD5351-17AD-AEB0-1E77-B75636400A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9387840" y="102824280"/>
          <a:ext cx="4092295" cy="434378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582</xdr:row>
      <xdr:rowOff>0</xdr:rowOff>
    </xdr:from>
    <xdr:to>
      <xdr:col>0</xdr:col>
      <xdr:colOff>205740</xdr:colOff>
      <xdr:row>583</xdr:row>
      <xdr:rowOff>30480</xdr:rowOff>
    </xdr:to>
    <xdr:pic>
      <xdr:nvPicPr>
        <xdr:cNvPr id="89" name="Picture 88">
          <a:extLst>
            <a:ext uri="{FF2B5EF4-FFF2-40B4-BE49-F238E27FC236}">
              <a16:creationId xmlns:a16="http://schemas.microsoft.com/office/drawing/2014/main" id="{7CDDD56D-F79C-6DFD-5D94-606862F5EF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8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2984300"/>
          <a:ext cx="205740" cy="2057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584</xdr:row>
      <xdr:rowOff>0</xdr:rowOff>
    </xdr:from>
    <xdr:to>
      <xdr:col>0</xdr:col>
      <xdr:colOff>274320</xdr:colOff>
      <xdr:row>585</xdr:row>
      <xdr:rowOff>30480</xdr:rowOff>
    </xdr:to>
    <xdr:pic>
      <xdr:nvPicPr>
        <xdr:cNvPr id="90" name="Picture 89">
          <a:extLst>
            <a:ext uri="{FF2B5EF4-FFF2-40B4-BE49-F238E27FC236}">
              <a16:creationId xmlns:a16="http://schemas.microsoft.com/office/drawing/2014/main" id="{7F7F87C9-FA11-F144-CD3A-DF14F9A0D7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9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3334820"/>
          <a:ext cx="274320" cy="2057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586</xdr:row>
      <xdr:rowOff>0</xdr:rowOff>
    </xdr:from>
    <xdr:to>
      <xdr:col>0</xdr:col>
      <xdr:colOff>464820</xdr:colOff>
      <xdr:row>587</xdr:row>
      <xdr:rowOff>30480</xdr:rowOff>
    </xdr:to>
    <xdr:pic>
      <xdr:nvPicPr>
        <xdr:cNvPr id="91" name="Picture 90">
          <a:extLst>
            <a:ext uri="{FF2B5EF4-FFF2-40B4-BE49-F238E27FC236}">
              <a16:creationId xmlns:a16="http://schemas.microsoft.com/office/drawing/2014/main" id="{BA17E858-F52D-2936-4A70-99B8B80D20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0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3685340"/>
          <a:ext cx="464820" cy="2057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587</xdr:row>
      <xdr:rowOff>0</xdr:rowOff>
    </xdr:from>
    <xdr:to>
      <xdr:col>0</xdr:col>
      <xdr:colOff>845820</xdr:colOff>
      <xdr:row>588</xdr:row>
      <xdr:rowOff>30480</xdr:rowOff>
    </xdr:to>
    <xdr:pic>
      <xdr:nvPicPr>
        <xdr:cNvPr id="92" name="Picture 91">
          <a:extLst>
            <a:ext uri="{FF2B5EF4-FFF2-40B4-BE49-F238E27FC236}">
              <a16:creationId xmlns:a16="http://schemas.microsoft.com/office/drawing/2014/main" id="{6C019149-BC8A-F3EA-8DFA-0C378231F1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3860600"/>
          <a:ext cx="845820" cy="2057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589</xdr:row>
      <xdr:rowOff>0</xdr:rowOff>
    </xdr:from>
    <xdr:to>
      <xdr:col>0</xdr:col>
      <xdr:colOff>1501140</xdr:colOff>
      <xdr:row>591</xdr:row>
      <xdr:rowOff>0</xdr:rowOff>
    </xdr:to>
    <xdr:pic>
      <xdr:nvPicPr>
        <xdr:cNvPr id="93" name="Picture 92">
          <a:extLst>
            <a:ext uri="{FF2B5EF4-FFF2-40B4-BE49-F238E27FC236}">
              <a16:creationId xmlns:a16="http://schemas.microsoft.com/office/drawing/2014/main" id="{D659EED9-46DE-DB06-EA77-52C2BCCA9B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2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4211120"/>
          <a:ext cx="1501140" cy="3505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592</xdr:row>
      <xdr:rowOff>0</xdr:rowOff>
    </xdr:from>
    <xdr:to>
      <xdr:col>0</xdr:col>
      <xdr:colOff>220980</xdr:colOff>
      <xdr:row>593</xdr:row>
      <xdr:rowOff>30480</xdr:rowOff>
    </xdr:to>
    <xdr:pic>
      <xdr:nvPicPr>
        <xdr:cNvPr id="94" name="Picture 93">
          <a:extLst>
            <a:ext uri="{FF2B5EF4-FFF2-40B4-BE49-F238E27FC236}">
              <a16:creationId xmlns:a16="http://schemas.microsoft.com/office/drawing/2014/main" id="{8FF341A9-08A4-0519-2CF6-289FEC31A2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3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4736900"/>
          <a:ext cx="220980" cy="2057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593</xdr:row>
      <xdr:rowOff>0</xdr:rowOff>
    </xdr:from>
    <xdr:to>
      <xdr:col>0</xdr:col>
      <xdr:colOff>205740</xdr:colOff>
      <xdr:row>594</xdr:row>
      <xdr:rowOff>30480</xdr:rowOff>
    </xdr:to>
    <xdr:pic>
      <xdr:nvPicPr>
        <xdr:cNvPr id="95" name="Picture 94">
          <a:extLst>
            <a:ext uri="{FF2B5EF4-FFF2-40B4-BE49-F238E27FC236}">
              <a16:creationId xmlns:a16="http://schemas.microsoft.com/office/drawing/2014/main" id="{9D0EC5F7-3BBC-BDDE-D5B5-2FA3C56D7D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4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4912160"/>
          <a:ext cx="205740" cy="2057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595</xdr:row>
      <xdr:rowOff>0</xdr:rowOff>
    </xdr:from>
    <xdr:to>
      <xdr:col>0</xdr:col>
      <xdr:colOff>144780</xdr:colOff>
      <xdr:row>596</xdr:row>
      <xdr:rowOff>30480</xdr:rowOff>
    </xdr:to>
    <xdr:pic>
      <xdr:nvPicPr>
        <xdr:cNvPr id="96" name="Picture 95">
          <a:extLst>
            <a:ext uri="{FF2B5EF4-FFF2-40B4-BE49-F238E27FC236}">
              <a16:creationId xmlns:a16="http://schemas.microsoft.com/office/drawing/2014/main" id="{9EE3F511-4EA4-3917-37EA-9007F171C8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5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5262680"/>
          <a:ext cx="144780" cy="2057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656</xdr:row>
      <xdr:rowOff>0</xdr:rowOff>
    </xdr:from>
    <xdr:to>
      <xdr:col>0</xdr:col>
      <xdr:colOff>1600200</xdr:colOff>
      <xdr:row>657</xdr:row>
      <xdr:rowOff>83820</xdr:rowOff>
    </xdr:to>
    <xdr:pic>
      <xdr:nvPicPr>
        <xdr:cNvPr id="97" name="Picture 96">
          <a:extLst>
            <a:ext uri="{FF2B5EF4-FFF2-40B4-BE49-F238E27FC236}">
              <a16:creationId xmlns:a16="http://schemas.microsoft.com/office/drawing/2014/main" id="{423E0F06-69E2-A3B5-D6E3-6D8C05160F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6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5788460"/>
          <a:ext cx="1600200" cy="2590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659</xdr:row>
      <xdr:rowOff>0</xdr:rowOff>
    </xdr:from>
    <xdr:to>
      <xdr:col>0</xdr:col>
      <xdr:colOff>99060</xdr:colOff>
      <xdr:row>660</xdr:row>
      <xdr:rowOff>30480</xdr:rowOff>
    </xdr:to>
    <xdr:pic>
      <xdr:nvPicPr>
        <xdr:cNvPr id="98" name="Picture 97">
          <a:extLst>
            <a:ext uri="{FF2B5EF4-FFF2-40B4-BE49-F238E27FC236}">
              <a16:creationId xmlns:a16="http://schemas.microsoft.com/office/drawing/2014/main" id="{90193A35-8543-7EB5-CA21-D0232BBCBE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7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6314240"/>
          <a:ext cx="99060" cy="2057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4446270</xdr:colOff>
      <xdr:row>657</xdr:row>
      <xdr:rowOff>30480</xdr:rowOff>
    </xdr:from>
    <xdr:to>
      <xdr:col>0</xdr:col>
      <xdr:colOff>5960877</xdr:colOff>
      <xdr:row>662</xdr:row>
      <xdr:rowOff>133433</xdr:rowOff>
    </xdr:to>
    <xdr:pic>
      <xdr:nvPicPr>
        <xdr:cNvPr id="99" name="Picture 98">
          <a:extLst>
            <a:ext uri="{FF2B5EF4-FFF2-40B4-BE49-F238E27FC236}">
              <a16:creationId xmlns:a16="http://schemas.microsoft.com/office/drawing/2014/main" id="{5625B720-8F0C-CE8D-3F83-AFB3B9EAA8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4446270" y="104205405"/>
          <a:ext cx="1518417" cy="960203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660</xdr:row>
      <xdr:rowOff>0</xdr:rowOff>
    </xdr:from>
    <xdr:to>
      <xdr:col>0</xdr:col>
      <xdr:colOff>76200</xdr:colOff>
      <xdr:row>661</xdr:row>
      <xdr:rowOff>30480</xdr:rowOff>
    </xdr:to>
    <xdr:pic>
      <xdr:nvPicPr>
        <xdr:cNvPr id="100" name="Picture 99">
          <a:extLst>
            <a:ext uri="{FF2B5EF4-FFF2-40B4-BE49-F238E27FC236}">
              <a16:creationId xmlns:a16="http://schemas.microsoft.com/office/drawing/2014/main" id="{0D581366-CF5B-B411-731F-41F8B73430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9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6489500"/>
          <a:ext cx="76200" cy="2057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661</xdr:row>
      <xdr:rowOff>0</xdr:rowOff>
    </xdr:from>
    <xdr:to>
      <xdr:col>0</xdr:col>
      <xdr:colOff>609600</xdr:colOff>
      <xdr:row>662</xdr:row>
      <xdr:rowOff>30480</xdr:rowOff>
    </xdr:to>
    <xdr:pic>
      <xdr:nvPicPr>
        <xdr:cNvPr id="101" name="Picture 100">
          <a:extLst>
            <a:ext uri="{FF2B5EF4-FFF2-40B4-BE49-F238E27FC236}">
              <a16:creationId xmlns:a16="http://schemas.microsoft.com/office/drawing/2014/main" id="{8F79ABEF-73B0-BA86-A0DF-13CD385881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0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6664760"/>
          <a:ext cx="609600" cy="2057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662</xdr:row>
      <xdr:rowOff>0</xdr:rowOff>
    </xdr:from>
    <xdr:to>
      <xdr:col>0</xdr:col>
      <xdr:colOff>205740</xdr:colOff>
      <xdr:row>663</xdr:row>
      <xdr:rowOff>30480</xdr:rowOff>
    </xdr:to>
    <xdr:pic>
      <xdr:nvPicPr>
        <xdr:cNvPr id="102" name="Picture 101">
          <a:extLst>
            <a:ext uri="{FF2B5EF4-FFF2-40B4-BE49-F238E27FC236}">
              <a16:creationId xmlns:a16="http://schemas.microsoft.com/office/drawing/2014/main" id="{28FAB78B-8EF3-63D1-EFAA-DE87301BF9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6840020"/>
          <a:ext cx="205740" cy="2057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599</xdr:row>
      <xdr:rowOff>57150</xdr:rowOff>
    </xdr:from>
    <xdr:to>
      <xdr:col>0</xdr:col>
      <xdr:colOff>257175</xdr:colOff>
      <xdr:row>601</xdr:row>
      <xdr:rowOff>28575</xdr:rowOff>
    </xdr:to>
    <xdr:pic>
      <xdr:nvPicPr>
        <xdr:cNvPr id="58" name="Picture 57">
          <a:extLst>
            <a:ext uri="{FF2B5EF4-FFF2-40B4-BE49-F238E27FC236}">
              <a16:creationId xmlns:a16="http://schemas.microsoft.com/office/drawing/2014/main" id="{6C39A552-44DB-20F3-2358-CCEED2DD48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2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3889175"/>
          <a:ext cx="257175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28575</xdr:colOff>
      <xdr:row>600</xdr:row>
      <xdr:rowOff>38100</xdr:rowOff>
    </xdr:from>
    <xdr:to>
      <xdr:col>0</xdr:col>
      <xdr:colOff>247650</xdr:colOff>
      <xdr:row>602</xdr:row>
      <xdr:rowOff>9525</xdr:rowOff>
    </xdr:to>
    <xdr:pic>
      <xdr:nvPicPr>
        <xdr:cNvPr id="60" name="Picture 59">
          <a:extLst>
            <a:ext uri="{FF2B5EF4-FFF2-40B4-BE49-F238E27FC236}">
              <a16:creationId xmlns:a16="http://schemas.microsoft.com/office/drawing/2014/main" id="{C3A7316C-7AA0-E5A7-E715-6E6E8326BF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3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104041575"/>
          <a:ext cx="219075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38100</xdr:colOff>
      <xdr:row>600</xdr:row>
      <xdr:rowOff>123825</xdr:rowOff>
    </xdr:from>
    <xdr:to>
      <xdr:col>0</xdr:col>
      <xdr:colOff>2000250</xdr:colOff>
      <xdr:row>603</xdr:row>
      <xdr:rowOff>133350</xdr:rowOff>
    </xdr:to>
    <xdr:pic>
      <xdr:nvPicPr>
        <xdr:cNvPr id="62" name="Picture 61">
          <a:extLst>
            <a:ext uri="{FF2B5EF4-FFF2-40B4-BE49-F238E27FC236}">
              <a16:creationId xmlns:a16="http://schemas.microsoft.com/office/drawing/2014/main" id="{CBDC0C3A-8491-F5DD-7F89-10D7469FF3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4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04127300"/>
          <a:ext cx="1962150" cy="523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607</xdr:row>
      <xdr:rowOff>0</xdr:rowOff>
    </xdr:from>
    <xdr:to>
      <xdr:col>0</xdr:col>
      <xdr:colOff>160020</xdr:colOff>
      <xdr:row>607</xdr:row>
      <xdr:rowOff>205740</xdr:rowOff>
    </xdr:to>
    <xdr:pic>
      <xdr:nvPicPr>
        <xdr:cNvPr id="57" name="Picture 56">
          <a:extLst>
            <a:ext uri="{FF2B5EF4-FFF2-40B4-BE49-F238E27FC236}">
              <a16:creationId xmlns:a16="http://schemas.microsoft.com/office/drawing/2014/main" id="{630834A6-59F9-409B-8D3F-251E260074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0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9260025"/>
          <a:ext cx="161925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608</xdr:row>
      <xdr:rowOff>0</xdr:rowOff>
    </xdr:from>
    <xdr:to>
      <xdr:col>0</xdr:col>
      <xdr:colOff>137160</xdr:colOff>
      <xdr:row>608</xdr:row>
      <xdr:rowOff>205740</xdr:rowOff>
    </xdr:to>
    <xdr:pic>
      <xdr:nvPicPr>
        <xdr:cNvPr id="73" name="Picture 72">
          <a:extLst>
            <a:ext uri="{FF2B5EF4-FFF2-40B4-BE49-F238E27FC236}">
              <a16:creationId xmlns:a16="http://schemas.microsoft.com/office/drawing/2014/main" id="{DED28150-A408-40E5-9DA0-1A3B97B962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9469575"/>
          <a:ext cx="1333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66675</xdr:colOff>
      <xdr:row>609</xdr:row>
      <xdr:rowOff>95250</xdr:rowOff>
    </xdr:from>
    <xdr:to>
      <xdr:col>0</xdr:col>
      <xdr:colOff>257175</xdr:colOff>
      <xdr:row>611</xdr:row>
      <xdr:rowOff>47625</xdr:rowOff>
    </xdr:to>
    <xdr:pic>
      <xdr:nvPicPr>
        <xdr:cNvPr id="81" name="Picture 80">
          <a:extLst>
            <a:ext uri="{FF2B5EF4-FFF2-40B4-BE49-F238E27FC236}">
              <a16:creationId xmlns:a16="http://schemas.microsoft.com/office/drawing/2014/main" id="{E4EE418E-402E-3AA7-5071-54CE1B587B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5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105717975"/>
          <a:ext cx="1905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76200</xdr:colOff>
      <xdr:row>610</xdr:row>
      <xdr:rowOff>114300</xdr:rowOff>
    </xdr:from>
    <xdr:to>
      <xdr:col>0</xdr:col>
      <xdr:colOff>247650</xdr:colOff>
      <xdr:row>612</xdr:row>
      <xdr:rowOff>66675</xdr:rowOff>
    </xdr:to>
    <xdr:pic>
      <xdr:nvPicPr>
        <xdr:cNvPr id="82" name="Picture 81">
          <a:extLst>
            <a:ext uri="{FF2B5EF4-FFF2-40B4-BE49-F238E27FC236}">
              <a16:creationId xmlns:a16="http://schemas.microsoft.com/office/drawing/2014/main" id="{BF802D52-8E44-8D79-E8E6-F72224B142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6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" y="105908475"/>
          <a:ext cx="17145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614</xdr:row>
      <xdr:rowOff>0</xdr:rowOff>
    </xdr:from>
    <xdr:to>
      <xdr:col>0</xdr:col>
      <xdr:colOff>312420</xdr:colOff>
      <xdr:row>615</xdr:row>
      <xdr:rowOff>15240</xdr:rowOff>
    </xdr:to>
    <xdr:pic>
      <xdr:nvPicPr>
        <xdr:cNvPr id="85" name="Picture 84">
          <a:extLst>
            <a:ext uri="{FF2B5EF4-FFF2-40B4-BE49-F238E27FC236}">
              <a16:creationId xmlns:a16="http://schemas.microsoft.com/office/drawing/2014/main" id="{210E1D78-CE7F-468E-AB5F-8A19EEA247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4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0364925"/>
          <a:ext cx="314325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615</xdr:row>
      <xdr:rowOff>0</xdr:rowOff>
    </xdr:from>
    <xdr:to>
      <xdr:col>0</xdr:col>
      <xdr:colOff>297180</xdr:colOff>
      <xdr:row>616</xdr:row>
      <xdr:rowOff>53340</xdr:rowOff>
    </xdr:to>
    <xdr:pic>
      <xdr:nvPicPr>
        <xdr:cNvPr id="86" name="Picture 85">
          <a:extLst>
            <a:ext uri="{FF2B5EF4-FFF2-40B4-BE49-F238E27FC236}">
              <a16:creationId xmlns:a16="http://schemas.microsoft.com/office/drawing/2014/main" id="{87C117E8-9BCD-49CD-BF60-561EAB9FFD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5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0574475"/>
          <a:ext cx="295275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620</xdr:row>
      <xdr:rowOff>76200</xdr:rowOff>
    </xdr:from>
    <xdr:to>
      <xdr:col>0</xdr:col>
      <xdr:colOff>133350</xdr:colOff>
      <xdr:row>622</xdr:row>
      <xdr:rowOff>47625</xdr:rowOff>
    </xdr:to>
    <xdr:pic>
      <xdr:nvPicPr>
        <xdr:cNvPr id="103" name="Picture 102">
          <a:extLst>
            <a:ext uri="{FF2B5EF4-FFF2-40B4-BE49-F238E27FC236}">
              <a16:creationId xmlns:a16="http://schemas.microsoft.com/office/drawing/2014/main" id="{5149F28C-7DC0-8250-78BF-98B775A8C6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7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7794425"/>
          <a:ext cx="13335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68580</xdr:colOff>
      <xdr:row>618</xdr:row>
      <xdr:rowOff>1905</xdr:rowOff>
    </xdr:from>
    <xdr:to>
      <xdr:col>0</xdr:col>
      <xdr:colOff>278130</xdr:colOff>
      <xdr:row>619</xdr:row>
      <xdr:rowOff>140970</xdr:rowOff>
    </xdr:to>
    <xdr:pic>
      <xdr:nvPicPr>
        <xdr:cNvPr id="105" name="Picture 104">
          <a:extLst>
            <a:ext uri="{FF2B5EF4-FFF2-40B4-BE49-F238E27FC236}">
              <a16:creationId xmlns:a16="http://schemas.microsoft.com/office/drawing/2014/main" id="{1AB339FD-0760-E812-432F-BD6D1DEE69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8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" y="107377230"/>
          <a:ext cx="209550" cy="31051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57150</xdr:colOff>
      <xdr:row>616</xdr:row>
      <xdr:rowOff>123825</xdr:rowOff>
    </xdr:from>
    <xdr:to>
      <xdr:col>0</xdr:col>
      <xdr:colOff>276225</xdr:colOff>
      <xdr:row>618</xdr:row>
      <xdr:rowOff>95250</xdr:rowOff>
    </xdr:to>
    <xdr:pic>
      <xdr:nvPicPr>
        <xdr:cNvPr id="106" name="Picture 105">
          <a:extLst>
            <a:ext uri="{FF2B5EF4-FFF2-40B4-BE49-F238E27FC236}">
              <a16:creationId xmlns:a16="http://schemas.microsoft.com/office/drawing/2014/main" id="{17045DA6-1C21-E985-5BF8-40ADBB4411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9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" y="107156250"/>
          <a:ext cx="219075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627</xdr:row>
      <xdr:rowOff>57150</xdr:rowOff>
    </xdr:from>
    <xdr:to>
      <xdr:col>0</xdr:col>
      <xdr:colOff>257175</xdr:colOff>
      <xdr:row>629</xdr:row>
      <xdr:rowOff>28575</xdr:rowOff>
    </xdr:to>
    <xdr:pic>
      <xdr:nvPicPr>
        <xdr:cNvPr id="119" name="Picture 118">
          <a:extLst>
            <a:ext uri="{FF2B5EF4-FFF2-40B4-BE49-F238E27FC236}">
              <a16:creationId xmlns:a16="http://schemas.microsoft.com/office/drawing/2014/main" id="{D2FE9CE5-469A-4951-8227-34B970DB95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2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4056815"/>
          <a:ext cx="255270" cy="31623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28575</xdr:colOff>
      <xdr:row>628</xdr:row>
      <xdr:rowOff>38100</xdr:rowOff>
    </xdr:from>
    <xdr:to>
      <xdr:col>0</xdr:col>
      <xdr:colOff>247650</xdr:colOff>
      <xdr:row>630</xdr:row>
      <xdr:rowOff>9525</xdr:rowOff>
    </xdr:to>
    <xdr:pic>
      <xdr:nvPicPr>
        <xdr:cNvPr id="120" name="Picture 119">
          <a:extLst>
            <a:ext uri="{FF2B5EF4-FFF2-40B4-BE49-F238E27FC236}">
              <a16:creationId xmlns:a16="http://schemas.microsoft.com/office/drawing/2014/main" id="{B5FE9045-AF53-474F-9C08-C6C84CB27C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3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70" y="104213025"/>
          <a:ext cx="217170" cy="31623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38100</xdr:colOff>
      <xdr:row>628</xdr:row>
      <xdr:rowOff>123825</xdr:rowOff>
    </xdr:from>
    <xdr:to>
      <xdr:col>0</xdr:col>
      <xdr:colOff>2000250</xdr:colOff>
      <xdr:row>631</xdr:row>
      <xdr:rowOff>133350</xdr:rowOff>
    </xdr:to>
    <xdr:pic>
      <xdr:nvPicPr>
        <xdr:cNvPr id="121" name="Picture 120">
          <a:extLst>
            <a:ext uri="{FF2B5EF4-FFF2-40B4-BE49-F238E27FC236}">
              <a16:creationId xmlns:a16="http://schemas.microsoft.com/office/drawing/2014/main" id="{5812A5D4-8D7C-4BC3-88D5-CF480D5ACB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4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04300655"/>
          <a:ext cx="1958340" cy="518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642</xdr:row>
      <xdr:rowOff>0</xdr:rowOff>
    </xdr:from>
    <xdr:to>
      <xdr:col>0</xdr:col>
      <xdr:colOff>312420</xdr:colOff>
      <xdr:row>643</xdr:row>
      <xdr:rowOff>15240</xdr:rowOff>
    </xdr:to>
    <xdr:pic>
      <xdr:nvPicPr>
        <xdr:cNvPr id="126" name="Picture 125">
          <a:extLst>
            <a:ext uri="{FF2B5EF4-FFF2-40B4-BE49-F238E27FC236}">
              <a16:creationId xmlns:a16="http://schemas.microsoft.com/office/drawing/2014/main" id="{212470DF-AA9B-41E3-A9E6-A15F8C349F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4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6651425"/>
          <a:ext cx="314325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643</xdr:row>
      <xdr:rowOff>0</xdr:rowOff>
    </xdr:from>
    <xdr:to>
      <xdr:col>0</xdr:col>
      <xdr:colOff>297180</xdr:colOff>
      <xdr:row>644</xdr:row>
      <xdr:rowOff>53340</xdr:rowOff>
    </xdr:to>
    <xdr:pic>
      <xdr:nvPicPr>
        <xdr:cNvPr id="127" name="Picture 126">
          <a:extLst>
            <a:ext uri="{FF2B5EF4-FFF2-40B4-BE49-F238E27FC236}">
              <a16:creationId xmlns:a16="http://schemas.microsoft.com/office/drawing/2014/main" id="{28D7E457-E7B6-4842-BDF3-DE7BD01FA4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5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6860975"/>
          <a:ext cx="295275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648</xdr:row>
      <xdr:rowOff>76200</xdr:rowOff>
    </xdr:from>
    <xdr:to>
      <xdr:col>0</xdr:col>
      <xdr:colOff>133350</xdr:colOff>
      <xdr:row>650</xdr:row>
      <xdr:rowOff>47625</xdr:rowOff>
    </xdr:to>
    <xdr:pic>
      <xdr:nvPicPr>
        <xdr:cNvPr id="128" name="Picture 127">
          <a:extLst>
            <a:ext uri="{FF2B5EF4-FFF2-40B4-BE49-F238E27FC236}">
              <a16:creationId xmlns:a16="http://schemas.microsoft.com/office/drawing/2014/main" id="{CC95C717-9BF0-48DE-8850-D300739F50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7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7794425"/>
          <a:ext cx="129540" cy="31623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9525</xdr:colOff>
      <xdr:row>645</xdr:row>
      <xdr:rowOff>87630</xdr:rowOff>
    </xdr:from>
    <xdr:to>
      <xdr:col>0</xdr:col>
      <xdr:colOff>224790</xdr:colOff>
      <xdr:row>647</xdr:row>
      <xdr:rowOff>53340</xdr:rowOff>
    </xdr:to>
    <xdr:pic>
      <xdr:nvPicPr>
        <xdr:cNvPr id="129" name="Picture 128">
          <a:extLst>
            <a:ext uri="{FF2B5EF4-FFF2-40B4-BE49-F238E27FC236}">
              <a16:creationId xmlns:a16="http://schemas.microsoft.com/office/drawing/2014/main" id="{8DB4E8EC-2D2E-45A3-BAE8-67DD9C9925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8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" y="112206405"/>
          <a:ext cx="215265" cy="3086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24765</xdr:colOff>
      <xdr:row>644</xdr:row>
      <xdr:rowOff>87630</xdr:rowOff>
    </xdr:from>
    <xdr:to>
      <xdr:col>0</xdr:col>
      <xdr:colOff>249555</xdr:colOff>
      <xdr:row>646</xdr:row>
      <xdr:rowOff>53340</xdr:rowOff>
    </xdr:to>
    <xdr:pic>
      <xdr:nvPicPr>
        <xdr:cNvPr id="130" name="Picture 129">
          <a:extLst>
            <a:ext uri="{FF2B5EF4-FFF2-40B4-BE49-F238E27FC236}">
              <a16:creationId xmlns:a16="http://schemas.microsoft.com/office/drawing/2014/main" id="{12EA79B6-7C8D-43E2-9712-F7E70F3AA3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9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" y="112034955"/>
          <a:ext cx="224790" cy="3086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635</xdr:row>
      <xdr:rowOff>0</xdr:rowOff>
    </xdr:from>
    <xdr:to>
      <xdr:col>0</xdr:col>
      <xdr:colOff>160020</xdr:colOff>
      <xdr:row>635</xdr:row>
      <xdr:rowOff>205740</xdr:rowOff>
    </xdr:to>
    <xdr:pic>
      <xdr:nvPicPr>
        <xdr:cNvPr id="131" name="Picture 130">
          <a:extLst>
            <a:ext uri="{FF2B5EF4-FFF2-40B4-BE49-F238E27FC236}">
              <a16:creationId xmlns:a16="http://schemas.microsoft.com/office/drawing/2014/main" id="{868841ED-B672-4422-9E3D-7F79FF8B26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0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9260025"/>
          <a:ext cx="161925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636</xdr:row>
      <xdr:rowOff>0</xdr:rowOff>
    </xdr:from>
    <xdr:to>
      <xdr:col>0</xdr:col>
      <xdr:colOff>133350</xdr:colOff>
      <xdr:row>637</xdr:row>
      <xdr:rowOff>0</xdr:rowOff>
    </xdr:to>
    <xdr:pic>
      <xdr:nvPicPr>
        <xdr:cNvPr id="132" name="Picture 131">
          <a:extLst>
            <a:ext uri="{FF2B5EF4-FFF2-40B4-BE49-F238E27FC236}">
              <a16:creationId xmlns:a16="http://schemas.microsoft.com/office/drawing/2014/main" id="{372F4B75-2224-45A0-81E5-30BD5F3026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9469575"/>
          <a:ext cx="12954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638</xdr:row>
      <xdr:rowOff>0</xdr:rowOff>
    </xdr:from>
    <xdr:to>
      <xdr:col>0</xdr:col>
      <xdr:colOff>464820</xdr:colOff>
      <xdr:row>639</xdr:row>
      <xdr:rowOff>30480</xdr:rowOff>
    </xdr:to>
    <xdr:pic>
      <xdr:nvPicPr>
        <xdr:cNvPr id="133" name="Picture 132">
          <a:extLst>
            <a:ext uri="{FF2B5EF4-FFF2-40B4-BE49-F238E27FC236}">
              <a16:creationId xmlns:a16="http://schemas.microsoft.com/office/drawing/2014/main" id="{931B66F4-D7F4-4A1A-A0C4-EA4443B828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2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9850575"/>
          <a:ext cx="466725" cy="200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639</xdr:row>
      <xdr:rowOff>0</xdr:rowOff>
    </xdr:from>
    <xdr:to>
      <xdr:col>0</xdr:col>
      <xdr:colOff>388620</xdr:colOff>
      <xdr:row>640</xdr:row>
      <xdr:rowOff>30480</xdr:rowOff>
    </xdr:to>
    <xdr:pic>
      <xdr:nvPicPr>
        <xdr:cNvPr id="134" name="Picture 133">
          <a:extLst>
            <a:ext uri="{FF2B5EF4-FFF2-40B4-BE49-F238E27FC236}">
              <a16:creationId xmlns:a16="http://schemas.microsoft.com/office/drawing/2014/main" id="{D84D2FAD-50DB-4AA1-A115-BC2B966AF2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3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0022025"/>
          <a:ext cx="390525" cy="200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2314575</xdr:colOff>
      <xdr:row>587</xdr:row>
      <xdr:rowOff>38100</xdr:rowOff>
    </xdr:from>
    <xdr:to>
      <xdr:col>4</xdr:col>
      <xdr:colOff>472751</xdr:colOff>
      <xdr:row>596</xdr:row>
      <xdr:rowOff>131</xdr:rowOff>
    </xdr:to>
    <xdr:pic>
      <xdr:nvPicPr>
        <xdr:cNvPr id="135" name="Picture 134">
          <a:extLst>
            <a:ext uri="{FF2B5EF4-FFF2-40B4-BE49-F238E27FC236}">
              <a16:creationId xmlns:a16="http://schemas.microsoft.com/office/drawing/2014/main" id="{BFBD0EE0-84B9-05DD-AF0E-13363EE7F7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12277725" y="101984175"/>
          <a:ext cx="3587426" cy="1505081"/>
        </a:xfrm>
        <a:prstGeom prst="rect">
          <a:avLst/>
        </a:prstGeom>
      </xdr:spPr>
    </xdr:pic>
    <xdr:clientData/>
  </xdr:twoCellAnchor>
  <xdr:twoCellAnchor>
    <xdr:from>
      <xdr:col>0</xdr:col>
      <xdr:colOff>266700</xdr:colOff>
      <xdr:row>678</xdr:row>
      <xdr:rowOff>9525</xdr:rowOff>
    </xdr:from>
    <xdr:to>
      <xdr:col>0</xdr:col>
      <xdr:colOff>1028700</xdr:colOff>
      <xdr:row>679</xdr:row>
      <xdr:rowOff>66675</xdr:rowOff>
    </xdr:to>
    <xdr:pic>
      <xdr:nvPicPr>
        <xdr:cNvPr id="136" name="Picture 135">
          <a:extLst>
            <a:ext uri="{FF2B5EF4-FFF2-40B4-BE49-F238E27FC236}">
              <a16:creationId xmlns:a16="http://schemas.microsoft.com/office/drawing/2014/main" id="{0DEA4A44-2BBB-1870-E539-07249D0B41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700" y="117814725"/>
          <a:ext cx="7620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680</xdr:row>
      <xdr:rowOff>161925</xdr:rowOff>
    </xdr:from>
    <xdr:to>
      <xdr:col>0</xdr:col>
      <xdr:colOff>1581150</xdr:colOff>
      <xdr:row>682</xdr:row>
      <xdr:rowOff>19050</xdr:rowOff>
    </xdr:to>
    <xdr:pic>
      <xdr:nvPicPr>
        <xdr:cNvPr id="137" name="Picture 136">
          <a:extLst>
            <a:ext uri="{FF2B5EF4-FFF2-40B4-BE49-F238E27FC236}">
              <a16:creationId xmlns:a16="http://schemas.microsoft.com/office/drawing/2014/main" id="{CEFFD8C0-F4F8-8F5B-DC1F-1B82AB1182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2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8310025"/>
          <a:ext cx="1581150" cy="200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704</xdr:row>
      <xdr:rowOff>0</xdr:rowOff>
    </xdr:from>
    <xdr:to>
      <xdr:col>0</xdr:col>
      <xdr:colOff>548640</xdr:colOff>
      <xdr:row>705</xdr:row>
      <xdr:rowOff>30480</xdr:rowOff>
    </xdr:to>
    <xdr:pic>
      <xdr:nvPicPr>
        <xdr:cNvPr id="138" name="Picture 137">
          <a:extLst>
            <a:ext uri="{FF2B5EF4-FFF2-40B4-BE49-F238E27FC236}">
              <a16:creationId xmlns:a16="http://schemas.microsoft.com/office/drawing/2014/main" id="{C1D17460-97DC-203F-5DDB-DDD09C7D3B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3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24792740"/>
          <a:ext cx="548640" cy="2057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">
  <rv s="0">
    <v>0</v>
    <v>5</v>
  </rv>
  <rv s="0">
    <v>1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B77A47-A7BE-4D4A-B9B2-7BD4BBB02747}">
  <dimension ref="A1"/>
  <sheetViews>
    <sheetView workbookViewId="0"/>
  </sheetViews>
  <sheetFormatPr defaultRowHeight="13.8" x14ac:dyDescent="0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F27C94-6297-45CB-8ED2-81D711DA05BE}">
  <dimension ref="A1:J724"/>
  <sheetViews>
    <sheetView tabSelected="1" topLeftCell="A690" zoomScaleNormal="100" workbookViewId="0">
      <selection activeCell="B705" sqref="B705"/>
    </sheetView>
  </sheetViews>
  <sheetFormatPr defaultRowHeight="13.8" x14ac:dyDescent="0.25"/>
  <cols>
    <col min="1" max="1" width="98.59765625" style="6" bestFit="1" customWidth="1"/>
    <col min="2" max="2" width="32.09765625" style="6" bestFit="1" customWidth="1"/>
    <col min="3" max="3" width="41.296875" style="6" bestFit="1" customWidth="1"/>
    <col min="4" max="4" width="30.09765625" style="6" bestFit="1" customWidth="1"/>
    <col min="5" max="5" width="22.09765625" style="6" bestFit="1" customWidth="1"/>
    <col min="6" max="6" width="15.09765625" style="6" bestFit="1" customWidth="1"/>
    <col min="7" max="7" width="12.09765625" style="6" bestFit="1" customWidth="1"/>
    <col min="8" max="8" width="14.3984375" style="6" bestFit="1" customWidth="1"/>
    <col min="9" max="16384" width="8.796875" style="6"/>
  </cols>
  <sheetData>
    <row r="1" spans="1:10" ht="36" x14ac:dyDescent="0.25">
      <c r="A1" s="5" t="s">
        <v>3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2" t="s">
        <v>10</v>
      </c>
      <c r="I1" s="1" t="s">
        <v>11</v>
      </c>
    </row>
    <row r="2" spans="1:10" x14ac:dyDescent="0.25">
      <c r="A2" s="7" t="s">
        <v>0</v>
      </c>
      <c r="B2" s="8" t="s">
        <v>1</v>
      </c>
      <c r="C2" s="8">
        <v>3200</v>
      </c>
      <c r="D2" s="8">
        <v>1.2</v>
      </c>
      <c r="E2" s="8">
        <v>285</v>
      </c>
      <c r="F2" s="8">
        <v>13000</v>
      </c>
      <c r="G2" s="8">
        <v>1</v>
      </c>
      <c r="H2" s="9">
        <v>60</v>
      </c>
      <c r="I2" s="8" t="s">
        <v>2</v>
      </c>
    </row>
    <row r="3" spans="1:10" x14ac:dyDescent="0.25">
      <c r="A3" s="3" t="s">
        <v>22</v>
      </c>
      <c r="B3" s="7"/>
      <c r="C3" s="7"/>
      <c r="D3" s="7"/>
      <c r="E3" s="7"/>
      <c r="F3" s="7"/>
      <c r="G3" s="7"/>
      <c r="H3" s="10"/>
      <c r="I3" s="7"/>
    </row>
    <row r="4" spans="1:10" x14ac:dyDescent="0.25">
      <c r="A4" s="3" t="s">
        <v>23</v>
      </c>
      <c r="B4" s="7"/>
      <c r="C4" s="7"/>
      <c r="D4" s="7"/>
      <c r="E4" s="7"/>
      <c r="F4" s="7"/>
      <c r="G4" s="7"/>
      <c r="H4" s="10"/>
      <c r="I4" s="7"/>
    </row>
    <row r="5" spans="1:10" x14ac:dyDescent="0.25">
      <c r="A5" s="4" t="s">
        <v>50</v>
      </c>
    </row>
    <row r="6" spans="1:10" x14ac:dyDescent="0.25">
      <c r="A6" s="11" t="s">
        <v>21</v>
      </c>
    </row>
    <row r="7" spans="1:10" x14ac:dyDescent="0.25">
      <c r="A7" s="6" t="s">
        <v>12</v>
      </c>
      <c r="B7" s="6">
        <f>C2*D2/1000</f>
        <v>3.84</v>
      </c>
    </row>
    <row r="8" spans="1:10" x14ac:dyDescent="0.25">
      <c r="A8" s="4" t="s">
        <v>51</v>
      </c>
    </row>
    <row r="9" spans="1:10" x14ac:dyDescent="0.25">
      <c r="A9" s="11" t="s">
        <v>13</v>
      </c>
      <c r="B9" s="6" t="s">
        <v>15</v>
      </c>
      <c r="C9" s="6">
        <v>0.93</v>
      </c>
      <c r="D9" s="6" t="s">
        <v>16</v>
      </c>
      <c r="E9" s="6">
        <v>0.99</v>
      </c>
      <c r="F9" s="6" t="s">
        <v>17</v>
      </c>
      <c r="G9" s="6">
        <v>0.99</v>
      </c>
      <c r="H9" s="6" t="s">
        <v>18</v>
      </c>
      <c r="I9" s="6">
        <v>0.97</v>
      </c>
      <c r="J9" s="6" t="s">
        <v>20</v>
      </c>
    </row>
    <row r="10" spans="1:10" x14ac:dyDescent="0.25">
      <c r="A10" s="6" t="s">
        <v>14</v>
      </c>
      <c r="B10" s="6">
        <f>ROUND(C9*E9*G9^3*I9,2)</f>
        <v>0.87</v>
      </c>
    </row>
    <row r="11" spans="1:10" x14ac:dyDescent="0.25">
      <c r="A11" s="4" t="s">
        <v>52</v>
      </c>
    </row>
    <row r="12" spans="1:10" x14ac:dyDescent="0.25">
      <c r="A12" s="11" t="s">
        <v>19</v>
      </c>
    </row>
    <row r="13" spans="1:10" x14ac:dyDescent="0.25">
      <c r="A13" t="s">
        <v>32</v>
      </c>
      <c r="B13" s="6">
        <f>ROUND(B7/B10,2)</f>
        <v>4.41</v>
      </c>
    </row>
    <row r="14" spans="1:10" x14ac:dyDescent="0.25">
      <c r="A14" s="4" t="s">
        <v>56</v>
      </c>
    </row>
    <row r="15" spans="1:10" x14ac:dyDescent="0.25">
      <c r="A15" s="11" t="s">
        <v>24</v>
      </c>
    </row>
    <row r="16" spans="1:10" x14ac:dyDescent="0.25">
      <c r="A16" s="6" t="s">
        <v>25</v>
      </c>
      <c r="B16" s="6">
        <f>ROUND(60000*D2/(3.14*E2),2)</f>
        <v>80.459999999999994</v>
      </c>
    </row>
    <row r="17" spans="1:5" x14ac:dyDescent="0.25">
      <c r="A17" s="4" t="s">
        <v>57</v>
      </c>
    </row>
    <row r="18" spans="1:5" x14ac:dyDescent="0.25">
      <c r="A18" s="12" t="s">
        <v>28</v>
      </c>
      <c r="B18" s="6" t="s">
        <v>30</v>
      </c>
      <c r="C18" s="6">
        <v>5</v>
      </c>
      <c r="D18" s="6" t="s">
        <v>31</v>
      </c>
      <c r="E18" s="6">
        <v>3</v>
      </c>
    </row>
    <row r="19" spans="1:5" x14ac:dyDescent="0.25">
      <c r="A19" t="s">
        <v>29</v>
      </c>
      <c r="B19" s="6">
        <f>C18*E18</f>
        <v>15</v>
      </c>
    </row>
    <row r="20" spans="1:5" x14ac:dyDescent="0.25">
      <c r="A20" s="12" t="s">
        <v>26</v>
      </c>
    </row>
    <row r="21" spans="1:5" x14ac:dyDescent="0.25">
      <c r="A21" t="s">
        <v>27</v>
      </c>
      <c r="B21" s="6">
        <f>ROUND(B16*B19,2)</f>
        <v>1206.9000000000001</v>
      </c>
    </row>
    <row r="22" spans="1:5" x14ac:dyDescent="0.25">
      <c r="A22" s="4" t="s">
        <v>53</v>
      </c>
    </row>
    <row r="23" spans="1:5" x14ac:dyDescent="0.25">
      <c r="A23" s="6" t="s">
        <v>35</v>
      </c>
    </row>
    <row r="24" spans="1:5" x14ac:dyDescent="0.25">
      <c r="A24" t="s">
        <v>33</v>
      </c>
      <c r="B24" s="6">
        <v>5.5</v>
      </c>
    </row>
    <row r="25" spans="1:5" x14ac:dyDescent="0.25">
      <c r="A25" t="s">
        <v>34</v>
      </c>
      <c r="B25" s="6">
        <v>1445</v>
      </c>
    </row>
    <row r="27" spans="1:5" x14ac:dyDescent="0.25">
      <c r="A27" s="13" t="s">
        <v>36</v>
      </c>
    </row>
    <row r="28" spans="1:5" ht="16.8" x14ac:dyDescent="0.25">
      <c r="A28" s="14" t="s">
        <v>54</v>
      </c>
    </row>
    <row r="29" spans="1:5" x14ac:dyDescent="0.25">
      <c r="A29" t="s">
        <v>37</v>
      </c>
      <c r="B29" s="6">
        <f>ROUND(B25/B16,2)</f>
        <v>17.96</v>
      </c>
    </row>
    <row r="30" spans="1:5" x14ac:dyDescent="0.25">
      <c r="A30" s="12" t="s">
        <v>39</v>
      </c>
      <c r="B30" s="6">
        <v>3.2</v>
      </c>
      <c r="C30" s="6" t="s">
        <v>40</v>
      </c>
    </row>
    <row r="31" spans="1:5" x14ac:dyDescent="0.25">
      <c r="A31" s="6" t="s">
        <v>38</v>
      </c>
      <c r="B31" s="6">
        <f>ROUND(B29/B30,2)</f>
        <v>5.61</v>
      </c>
    </row>
    <row r="32" spans="1:5" x14ac:dyDescent="0.25">
      <c r="A32" s="13" t="s">
        <v>41</v>
      </c>
    </row>
    <row r="33" spans="1:2" x14ac:dyDescent="0.25">
      <c r="A33" s="4" t="s">
        <v>42</v>
      </c>
    </row>
    <row r="34" spans="1:2" x14ac:dyDescent="0.25">
      <c r="A34" s="11" t="s">
        <v>21</v>
      </c>
    </row>
    <row r="35" spans="1:2" x14ac:dyDescent="0.25">
      <c r="A35" t="s">
        <v>43</v>
      </c>
      <c r="B35" s="6">
        <f>B7</f>
        <v>3.84</v>
      </c>
    </row>
    <row r="36" spans="1:2" x14ac:dyDescent="0.25">
      <c r="A36" s="11" t="s">
        <v>44</v>
      </c>
    </row>
    <row r="37" spans="1:2" x14ac:dyDescent="0.25">
      <c r="A37" s="6" t="s">
        <v>45</v>
      </c>
      <c r="B37" s="6">
        <f>ROUND(B35/(C9*G9),2)</f>
        <v>4.17</v>
      </c>
    </row>
    <row r="38" spans="1:2" x14ac:dyDescent="0.25">
      <c r="A38" s="11" t="s">
        <v>46</v>
      </c>
    </row>
    <row r="39" spans="1:2" x14ac:dyDescent="0.25">
      <c r="A39" t="s">
        <v>49</v>
      </c>
      <c r="B39" s="6">
        <f>ROUND(B37/(G9*I9),2)</f>
        <v>4.34</v>
      </c>
    </row>
    <row r="40" spans="1:2" x14ac:dyDescent="0.25">
      <c r="A40" s="12" t="s">
        <v>47</v>
      </c>
    </row>
    <row r="41" spans="1:2" x14ac:dyDescent="0.25">
      <c r="A41" t="s">
        <v>48</v>
      </c>
      <c r="B41" s="6">
        <f>ROUND(B39/(G9*E9),2)</f>
        <v>4.43</v>
      </c>
    </row>
    <row r="42" spans="1:2" x14ac:dyDescent="0.25">
      <c r="A42" s="4" t="s">
        <v>55</v>
      </c>
    </row>
    <row r="43" spans="1:2" x14ac:dyDescent="0.25">
      <c r="A43" s="12" t="s">
        <v>26</v>
      </c>
    </row>
    <row r="44" spans="1:2" x14ac:dyDescent="0.25">
      <c r="A44" t="s">
        <v>27</v>
      </c>
      <c r="B44" s="6">
        <f>B25</f>
        <v>1445</v>
      </c>
    </row>
    <row r="45" spans="1:2" x14ac:dyDescent="0.25">
      <c r="A45" s="11" t="s">
        <v>58</v>
      </c>
    </row>
    <row r="46" spans="1:2" x14ac:dyDescent="0.25">
      <c r="A46" s="6" t="s">
        <v>59</v>
      </c>
      <c r="B46" s="6">
        <f>B44</f>
        <v>1445</v>
      </c>
    </row>
    <row r="47" spans="1:2" x14ac:dyDescent="0.25">
      <c r="A47" s="11" t="s">
        <v>60</v>
      </c>
    </row>
    <row r="48" spans="1:2" x14ac:dyDescent="0.25">
      <c r="A48" t="s">
        <v>61</v>
      </c>
      <c r="B48" s="6">
        <f>ROUND(B46/B31,2)</f>
        <v>257.58</v>
      </c>
    </row>
    <row r="49" spans="1:5" x14ac:dyDescent="0.25">
      <c r="A49" s="12" t="s">
        <v>24</v>
      </c>
    </row>
    <row r="50" spans="1:5" x14ac:dyDescent="0.25">
      <c r="A50" t="s">
        <v>62</v>
      </c>
      <c r="B50" s="6">
        <f>ROUND(B48/B30,2)</f>
        <v>80.489999999999995</v>
      </c>
    </row>
    <row r="51" spans="1:5" x14ac:dyDescent="0.25">
      <c r="A51" s="15" t="s">
        <v>63</v>
      </c>
    </row>
    <row r="52" spans="1:5" x14ac:dyDescent="0.25">
      <c r="A52" s="11" t="s">
        <v>64</v>
      </c>
    </row>
    <row r="53" spans="1:5" x14ac:dyDescent="0.25">
      <c r="A53" s="6" t="s">
        <v>65</v>
      </c>
      <c r="B53" s="6">
        <f>ROUND(9.55*10^6*B41/B44,2)</f>
        <v>29277.85</v>
      </c>
    </row>
    <row r="54" spans="1:5" x14ac:dyDescent="0.25">
      <c r="A54" s="11" t="s">
        <v>66</v>
      </c>
    </row>
    <row r="55" spans="1:5" x14ac:dyDescent="0.25">
      <c r="A55" s="6" t="s">
        <v>67</v>
      </c>
      <c r="B55" s="6">
        <f>ROUND(9.55*10^6*B39/B46,2)</f>
        <v>28683.040000000001</v>
      </c>
    </row>
    <row r="56" spans="1:5" x14ac:dyDescent="0.25">
      <c r="A56" s="11" t="s">
        <v>68</v>
      </c>
    </row>
    <row r="57" spans="1:5" x14ac:dyDescent="0.25">
      <c r="A57" t="s">
        <v>69</v>
      </c>
      <c r="B57" s="6">
        <f>ROUND(9.55*10^6*B37/B48,2)</f>
        <v>154606.34</v>
      </c>
    </row>
    <row r="58" spans="1:5" x14ac:dyDescent="0.25">
      <c r="A58" s="11" t="s">
        <v>70</v>
      </c>
    </row>
    <row r="59" spans="1:5" x14ac:dyDescent="0.25">
      <c r="A59" t="s">
        <v>71</v>
      </c>
      <c r="B59" s="6">
        <f>ROUND(9.55*10^6*B35/B50,2)</f>
        <v>455609.39</v>
      </c>
    </row>
    <row r="61" spans="1:5" x14ac:dyDescent="0.25">
      <c r="A61" s="16" t="s">
        <v>75</v>
      </c>
    </row>
    <row r="63" spans="1:5" x14ac:dyDescent="0.25">
      <c r="B63" s="22" t="s">
        <v>72</v>
      </c>
      <c r="C63" s="22" t="s">
        <v>79</v>
      </c>
      <c r="D63" s="22" t="s">
        <v>73</v>
      </c>
      <c r="E63" s="21" t="s">
        <v>74</v>
      </c>
    </row>
    <row r="64" spans="1:5" x14ac:dyDescent="0.25">
      <c r="A64" s="6" t="s">
        <v>76</v>
      </c>
      <c r="B64" s="6">
        <v>1</v>
      </c>
      <c r="D64" s="6">
        <f>B31</f>
        <v>5.61</v>
      </c>
      <c r="E64" s="6">
        <f>B30</f>
        <v>3.2</v>
      </c>
    </row>
    <row r="65" spans="1:5" x14ac:dyDescent="0.25">
      <c r="A65" s="6" t="s">
        <v>77</v>
      </c>
      <c r="B65" s="6">
        <f>B41</f>
        <v>4.43</v>
      </c>
      <c r="C65" s="6">
        <f>B39</f>
        <v>4.34</v>
      </c>
      <c r="D65" s="6">
        <f>B37</f>
        <v>4.17</v>
      </c>
      <c r="E65" s="6">
        <f>B35</f>
        <v>3.84</v>
      </c>
    </row>
    <row r="66" spans="1:5" x14ac:dyDescent="0.25">
      <c r="A66" t="s">
        <v>78</v>
      </c>
      <c r="B66" s="6">
        <f>B44</f>
        <v>1445</v>
      </c>
      <c r="C66" s="6">
        <f>B46</f>
        <v>1445</v>
      </c>
      <c r="D66" s="6">
        <f>B48</f>
        <v>257.58</v>
      </c>
      <c r="E66" s="6">
        <f>B50</f>
        <v>80.489999999999995</v>
      </c>
    </row>
    <row r="67" spans="1:5" x14ac:dyDescent="0.25">
      <c r="A67" t="s">
        <v>80</v>
      </c>
      <c r="B67" s="6">
        <f>B53</f>
        <v>29277.85</v>
      </c>
      <c r="C67" s="6">
        <f>B55</f>
        <v>28683.040000000001</v>
      </c>
      <c r="D67" s="6">
        <f>B57</f>
        <v>154606.34</v>
      </c>
      <c r="E67" s="6">
        <f>B59</f>
        <v>455609.39</v>
      </c>
    </row>
    <row r="70" spans="1:5" x14ac:dyDescent="0.25">
      <c r="A70" s="17" t="s">
        <v>81</v>
      </c>
    </row>
    <row r="71" spans="1:5" x14ac:dyDescent="0.25">
      <c r="A71" s="16" t="s">
        <v>82</v>
      </c>
    </row>
    <row r="72" spans="1:5" x14ac:dyDescent="0.25">
      <c r="A72" t="s">
        <v>83</v>
      </c>
    </row>
    <row r="73" spans="1:5" x14ac:dyDescent="0.25">
      <c r="A73" s="16" t="s">
        <v>84</v>
      </c>
    </row>
    <row r="74" spans="1:5" x14ac:dyDescent="0.25">
      <c r="A74" s="6" t="s">
        <v>85</v>
      </c>
      <c r="B74" s="6">
        <f>29 - 2*B30</f>
        <v>22.6</v>
      </c>
      <c r="C74" s="6">
        <f>23</f>
        <v>23</v>
      </c>
      <c r="D74" s="6" t="s">
        <v>86</v>
      </c>
    </row>
    <row r="75" spans="1:5" x14ac:dyDescent="0.25">
      <c r="A75" s="6" t="s">
        <v>87</v>
      </c>
      <c r="B75" s="6">
        <f>C74*B30</f>
        <v>73.600000000000009</v>
      </c>
      <c r="C75" s="6">
        <v>73</v>
      </c>
      <c r="D75" s="6" t="s">
        <v>86</v>
      </c>
    </row>
    <row r="76" spans="1:5" x14ac:dyDescent="0.25">
      <c r="A76" s="12" t="s">
        <v>88</v>
      </c>
    </row>
    <row r="77" spans="1:5" x14ac:dyDescent="0.25">
      <c r="A77" t="s">
        <v>89</v>
      </c>
      <c r="B77" s="6">
        <f>ROUND(C75/C74,2)</f>
        <v>3.17</v>
      </c>
    </row>
    <row r="78" spans="1:5" x14ac:dyDescent="0.25">
      <c r="A78" s="12" t="s">
        <v>90</v>
      </c>
    </row>
    <row r="79" spans="1:5" x14ac:dyDescent="0.25">
      <c r="A79" t="s">
        <v>91</v>
      </c>
      <c r="B79" s="6">
        <f>ABS((B77-B30)/B30)</f>
        <v>9.3750000000000777E-3</v>
      </c>
      <c r="C79" s="6" t="s">
        <v>92</v>
      </c>
    </row>
    <row r="80" spans="1:5" x14ac:dyDescent="0.25">
      <c r="A80" s="4" t="s">
        <v>93</v>
      </c>
    </row>
    <row r="81" spans="1:6" x14ac:dyDescent="0.25">
      <c r="A81"/>
    </row>
    <row r="84" spans="1:6" x14ac:dyDescent="0.25">
      <c r="A84" s="11" t="s">
        <v>97</v>
      </c>
    </row>
    <row r="85" spans="1:6" x14ac:dyDescent="0.25">
      <c r="A85" s="6" t="s">
        <v>98</v>
      </c>
      <c r="B85" s="6">
        <f>ROUND(25/C74,2)</f>
        <v>1.0900000000000001</v>
      </c>
    </row>
    <row r="86" spans="1:6" x14ac:dyDescent="0.25">
      <c r="A86" s="11" t="s">
        <v>108</v>
      </c>
    </row>
    <row r="87" spans="1:6" x14ac:dyDescent="0.25">
      <c r="A87" s="6" t="s">
        <v>99</v>
      </c>
      <c r="B87" s="6">
        <f>ROUND(200/B48,2)</f>
        <v>0.78</v>
      </c>
    </row>
    <row r="89" spans="1:6" x14ac:dyDescent="0.25">
      <c r="A89" s="12" t="s">
        <v>100</v>
      </c>
    </row>
    <row r="90" spans="1:6" x14ac:dyDescent="0.25">
      <c r="A90" t="s">
        <v>101</v>
      </c>
      <c r="B90" s="6">
        <v>1.25</v>
      </c>
      <c r="F90" s="43" t="s">
        <v>118</v>
      </c>
    </row>
    <row r="91" spans="1:6" x14ac:dyDescent="0.25">
      <c r="A91" s="12" t="s">
        <v>102</v>
      </c>
      <c r="F91" s="43"/>
    </row>
    <row r="92" spans="1:6" x14ac:dyDescent="0.25">
      <c r="A92" t="s">
        <v>103</v>
      </c>
      <c r="B92" s="6">
        <v>1</v>
      </c>
      <c r="C92" s="6" t="s">
        <v>104</v>
      </c>
      <c r="F92" s="43"/>
    </row>
    <row r="93" spans="1:6" x14ac:dyDescent="0.25">
      <c r="A93" s="12" t="s">
        <v>105</v>
      </c>
      <c r="F93" s="43"/>
    </row>
    <row r="94" spans="1:6" x14ac:dyDescent="0.25">
      <c r="A94" t="s">
        <v>106</v>
      </c>
      <c r="B94" s="6">
        <v>1.25</v>
      </c>
      <c r="C94" s="6" t="s">
        <v>107</v>
      </c>
      <c r="F94" s="43"/>
    </row>
    <row r="95" spans="1:6" x14ac:dyDescent="0.25">
      <c r="A95" s="12" t="s">
        <v>109</v>
      </c>
      <c r="F95" s="43"/>
    </row>
    <row r="96" spans="1:6" x14ac:dyDescent="0.25">
      <c r="A96" t="s">
        <v>110</v>
      </c>
      <c r="B96" s="6">
        <v>1.3</v>
      </c>
      <c r="C96" s="6" t="s">
        <v>111</v>
      </c>
      <c r="F96" s="43"/>
    </row>
    <row r="97" spans="1:6" x14ac:dyDescent="0.25">
      <c r="A97" s="12" t="s">
        <v>112</v>
      </c>
      <c r="F97" s="43"/>
    </row>
    <row r="98" spans="1:6" x14ac:dyDescent="0.25">
      <c r="A98" t="s">
        <v>106</v>
      </c>
      <c r="B98" s="6">
        <v>1.3</v>
      </c>
      <c r="C98" s="6" t="s">
        <v>113</v>
      </c>
      <c r="F98" s="43"/>
    </row>
    <row r="99" spans="1:6" x14ac:dyDescent="0.25">
      <c r="A99" s="12" t="s">
        <v>114</v>
      </c>
      <c r="F99" s="43"/>
    </row>
    <row r="100" spans="1:6" x14ac:dyDescent="0.25">
      <c r="A100" t="s">
        <v>115</v>
      </c>
      <c r="B100" s="6">
        <v>1</v>
      </c>
      <c r="C100" s="6" t="s">
        <v>116</v>
      </c>
      <c r="F100" s="43"/>
    </row>
    <row r="101" spans="1:6" x14ac:dyDescent="0.25">
      <c r="A101" s="12" t="s">
        <v>117</v>
      </c>
    </row>
    <row r="102" spans="1:6" x14ac:dyDescent="0.25">
      <c r="A102" s="6" t="s">
        <v>95</v>
      </c>
      <c r="B102" s="6">
        <f>D65</f>
        <v>4.17</v>
      </c>
    </row>
    <row r="103" spans="1:6" x14ac:dyDescent="0.25">
      <c r="A103" s="6" t="s">
        <v>94</v>
      </c>
      <c r="B103" s="6">
        <f>ROUND((B102*B85*B87*B90*B92*B94*B96*B98*B100),2)</f>
        <v>9.36</v>
      </c>
    </row>
    <row r="104" spans="1:6" x14ac:dyDescent="0.25">
      <c r="A104" s="6" t="s">
        <v>96</v>
      </c>
    </row>
    <row r="106" spans="1:6" x14ac:dyDescent="0.25">
      <c r="A106" t="s">
        <v>353</v>
      </c>
    </row>
    <row r="107" spans="1:6" x14ac:dyDescent="0.25">
      <c r="A107" s="12" t="s">
        <v>119</v>
      </c>
    </row>
    <row r="108" spans="1:6" x14ac:dyDescent="0.25">
      <c r="A108" t="s">
        <v>120</v>
      </c>
      <c r="B108" s="6">
        <v>25.4</v>
      </c>
    </row>
    <row r="109" spans="1:6" x14ac:dyDescent="0.25">
      <c r="A109" s="12" t="s">
        <v>121</v>
      </c>
    </row>
    <row r="110" spans="1:6" x14ac:dyDescent="0.25">
      <c r="A110" t="s">
        <v>122</v>
      </c>
      <c r="B110" s="6">
        <v>7.95</v>
      </c>
    </row>
    <row r="111" spans="1:6" x14ac:dyDescent="0.25">
      <c r="A111" s="12" t="s">
        <v>123</v>
      </c>
    </row>
    <row r="112" spans="1:6" x14ac:dyDescent="0.25">
      <c r="A112" t="s">
        <v>124</v>
      </c>
      <c r="B112" s="6">
        <v>22.61</v>
      </c>
    </row>
    <row r="113" spans="1:2" x14ac:dyDescent="0.25">
      <c r="A113" s="12" t="s">
        <v>125</v>
      </c>
    </row>
    <row r="114" spans="1:2" x14ac:dyDescent="0.25">
      <c r="A114" t="s">
        <v>126</v>
      </c>
      <c r="B114" s="6">
        <v>11</v>
      </c>
    </row>
    <row r="116" spans="1:2" x14ac:dyDescent="0.25">
      <c r="A116" s="4" t="s">
        <v>127</v>
      </c>
    </row>
    <row r="117" spans="1:2" x14ac:dyDescent="0.25">
      <c r="A117" s="12" t="s">
        <v>132</v>
      </c>
    </row>
    <row r="118" spans="1:2" x14ac:dyDescent="0.25">
      <c r="A118" t="s">
        <v>128</v>
      </c>
    </row>
    <row r="119" spans="1:2" x14ac:dyDescent="0.25">
      <c r="A119" t="s">
        <v>129</v>
      </c>
    </row>
    <row r="120" spans="1:2" x14ac:dyDescent="0.25">
      <c r="A120" t="s">
        <v>130</v>
      </c>
      <c r="B120" s="6">
        <f>40*B108</f>
        <v>1016</v>
      </c>
    </row>
    <row r="121" spans="1:2" x14ac:dyDescent="0.25">
      <c r="A121" s="12" t="s">
        <v>131</v>
      </c>
    </row>
    <row r="122" spans="1:2" x14ac:dyDescent="0.25">
      <c r="A122" t="s">
        <v>133</v>
      </c>
      <c r="B122" s="6">
        <f xml:space="preserve"> ROUND(2*B120/B108 + (C75+C74)/2 + (C75-C74)^2*B108/(4*3.14^2*B120),2)</f>
        <v>129.58000000000001</v>
      </c>
    </row>
    <row r="123" spans="1:2" x14ac:dyDescent="0.25">
      <c r="A123" t="s">
        <v>134</v>
      </c>
      <c r="B123" s="6">
        <v>130</v>
      </c>
    </row>
    <row r="124" spans="1:2" x14ac:dyDescent="0.25">
      <c r="A124" s="12" t="s">
        <v>135</v>
      </c>
    </row>
    <row r="125" spans="1:2" x14ac:dyDescent="0.25">
      <c r="A125" t="s">
        <v>136</v>
      </c>
      <c r="B125" s="6">
        <f>B123*B108</f>
        <v>3302</v>
      </c>
    </row>
    <row r="126" spans="1:2" x14ac:dyDescent="0.25">
      <c r="A126" s="12" t="s">
        <v>137</v>
      </c>
    </row>
    <row r="127" spans="1:2" x14ac:dyDescent="0.25">
      <c r="A127" t="s">
        <v>138</v>
      </c>
      <c r="B127" s="6">
        <f>ROUND(0.25*B108*(B123-0.5*(C75+C74)+SQRT((B123-0.5*(C74+C75))^2-2*((C75-C74)/3.14)^2)),2)</f>
        <v>1021.38</v>
      </c>
    </row>
    <row r="128" spans="1:2" x14ac:dyDescent="0.25">
      <c r="A128" s="12" t="s">
        <v>139</v>
      </c>
    </row>
    <row r="129" spans="1:3" x14ac:dyDescent="0.25">
      <c r="A129" t="s">
        <v>140</v>
      </c>
      <c r="B129" s="6">
        <f>0.002*B127</f>
        <v>2.0427599999999999</v>
      </c>
      <c r="C129" s="6">
        <f>0.004*B127</f>
        <v>4.0855199999999998</v>
      </c>
    </row>
    <row r="130" spans="1:3" x14ac:dyDescent="0.25">
      <c r="A130" s="12" t="s">
        <v>141</v>
      </c>
      <c r="B130" s="6">
        <v>2.38</v>
      </c>
    </row>
    <row r="132" spans="1:3" x14ac:dyDescent="0.25">
      <c r="A132" s="12" t="s">
        <v>132</v>
      </c>
    </row>
    <row r="133" spans="1:3" x14ac:dyDescent="0.25">
      <c r="A133" t="s">
        <v>142</v>
      </c>
      <c r="B133" s="6">
        <f>B127-B130</f>
        <v>1019</v>
      </c>
    </row>
    <row r="135" spans="1:3" x14ac:dyDescent="0.25">
      <c r="A135" s="12" t="s">
        <v>143</v>
      </c>
    </row>
    <row r="136" spans="1:3" x14ac:dyDescent="0.25">
      <c r="A136" t="s">
        <v>144</v>
      </c>
      <c r="B136" s="6">
        <f>ROUND(C74*D66/(15*B123),2)</f>
        <v>3.04</v>
      </c>
    </row>
    <row r="137" spans="1:3" x14ac:dyDescent="0.25">
      <c r="A137" t="s">
        <v>145</v>
      </c>
    </row>
    <row r="138" spans="1:3" x14ac:dyDescent="0.25">
      <c r="A138" t="s">
        <v>283</v>
      </c>
      <c r="B138" s="6" t="s">
        <v>146</v>
      </c>
    </row>
    <row r="140" spans="1:3" x14ac:dyDescent="0.25">
      <c r="A140" s="4" t="s">
        <v>147</v>
      </c>
    </row>
    <row r="141" spans="1:3" x14ac:dyDescent="0.25">
      <c r="A141" t="s">
        <v>148</v>
      </c>
    </row>
    <row r="142" spans="1:3" x14ac:dyDescent="0.25">
      <c r="A142" s="12" t="s">
        <v>149</v>
      </c>
    </row>
    <row r="143" spans="1:3" x14ac:dyDescent="0.25">
      <c r="A143" t="s">
        <v>160</v>
      </c>
      <c r="B143" s="6">
        <f>ROUND(C74*B108*D66/60000,2)</f>
        <v>2.5099999999999998</v>
      </c>
    </row>
    <row r="144" spans="1:3" x14ac:dyDescent="0.25">
      <c r="A144" t="s">
        <v>150</v>
      </c>
      <c r="B144" s="6">
        <v>56.7</v>
      </c>
      <c r="C144" s="6" t="s">
        <v>157</v>
      </c>
    </row>
    <row r="145" spans="1:6" x14ac:dyDescent="0.25">
      <c r="A145" t="s">
        <v>151</v>
      </c>
      <c r="B145" s="6">
        <v>1.2</v>
      </c>
      <c r="C145" s="6" t="s">
        <v>158</v>
      </c>
      <c r="E145" s="6" t="s">
        <v>159</v>
      </c>
      <c r="F145" s="6">
        <v>2.6</v>
      </c>
    </row>
    <row r="146" spans="1:6" x14ac:dyDescent="0.25">
      <c r="A146" t="s">
        <v>152</v>
      </c>
      <c r="B146" s="6">
        <f>ROUND(1000*D65/B143,2)</f>
        <v>1661.35</v>
      </c>
    </row>
    <row r="147" spans="1:6" x14ac:dyDescent="0.25">
      <c r="A147" t="s">
        <v>153</v>
      </c>
      <c r="B147" s="6">
        <f>ROUND(F145*B143^2,2)</f>
        <v>16.38</v>
      </c>
    </row>
    <row r="148" spans="1:6" x14ac:dyDescent="0.25">
      <c r="A148" t="s">
        <v>154</v>
      </c>
      <c r="B148" s="6">
        <f>ROUND(9.81*D148*F145*B133/1000,2)</f>
        <v>51.98</v>
      </c>
      <c r="C148" s="6" t="s">
        <v>161</v>
      </c>
      <c r="D148" s="6">
        <v>2</v>
      </c>
    </row>
    <row r="149" spans="1:6" x14ac:dyDescent="0.25">
      <c r="A149" t="s">
        <v>155</v>
      </c>
      <c r="B149" s="6">
        <v>8.1999999999999993</v>
      </c>
    </row>
    <row r="151" spans="1:6" x14ac:dyDescent="0.25">
      <c r="A151" t="s">
        <v>156</v>
      </c>
      <c r="B151" s="6">
        <f>ROUND(B144*10^3/(B145*B146+B148+B147),2)</f>
        <v>27.5</v>
      </c>
      <c r="C151" s="6" t="s">
        <v>162</v>
      </c>
    </row>
    <row r="153" spans="1:6" x14ac:dyDescent="0.25">
      <c r="A153" s="4" t="s">
        <v>163</v>
      </c>
    </row>
    <row r="154" spans="1:6" x14ac:dyDescent="0.25">
      <c r="A154" s="12" t="s">
        <v>164</v>
      </c>
    </row>
    <row r="155" spans="1:6" x14ac:dyDescent="0.25">
      <c r="A155" t="s">
        <v>165</v>
      </c>
      <c r="B155" s="6">
        <f>ROUND(B108/SIN(3.14/C74),2)</f>
        <v>186.63</v>
      </c>
    </row>
    <row r="156" spans="1:6" x14ac:dyDescent="0.25">
      <c r="A156" t="s">
        <v>166</v>
      </c>
      <c r="B156" s="6">
        <f>ROUND(B108/SIN(3.14/C75),2)</f>
        <v>590.69000000000005</v>
      </c>
    </row>
    <row r="157" spans="1:6" x14ac:dyDescent="0.25">
      <c r="A157" s="12" t="s">
        <v>167</v>
      </c>
    </row>
    <row r="158" spans="1:6" x14ac:dyDescent="0.25">
      <c r="A158" s="6" t="s">
        <v>168</v>
      </c>
      <c r="B158" s="6">
        <f>ROUND(B108*(0.5+_xlfn.COT(3.14/C74)),2)</f>
        <v>197.59</v>
      </c>
    </row>
    <row r="159" spans="1:6" x14ac:dyDescent="0.25">
      <c r="A159" t="s">
        <v>169</v>
      </c>
      <c r="B159" s="6">
        <f>ROUND(B108*(0.5+_xlfn.COT(3.14/C75)),2)</f>
        <v>602.85</v>
      </c>
    </row>
    <row r="160" spans="1:6" x14ac:dyDescent="0.25">
      <c r="A160" s="12" t="s">
        <v>170</v>
      </c>
      <c r="B160" s="6" t="s">
        <v>172</v>
      </c>
      <c r="C160" s="6">
        <v>15.88</v>
      </c>
      <c r="D160" s="6" t="s">
        <v>284</v>
      </c>
    </row>
    <row r="161" spans="1:5" x14ac:dyDescent="0.25">
      <c r="A161" t="s">
        <v>171</v>
      </c>
      <c r="B161" s="6">
        <f>ROUND(0.5025*C160+0.05,2)</f>
        <v>8.0299999999999994</v>
      </c>
    </row>
    <row r="162" spans="1:5" x14ac:dyDescent="0.25">
      <c r="A162" s="12" t="s">
        <v>173</v>
      </c>
    </row>
    <row r="163" spans="1:5" x14ac:dyDescent="0.25">
      <c r="A163" t="s">
        <v>174</v>
      </c>
      <c r="B163" s="6">
        <f>B155-2*B161</f>
        <v>170.57</v>
      </c>
    </row>
    <row r="164" spans="1:5" x14ac:dyDescent="0.25">
      <c r="A164" s="18" t="s">
        <v>175</v>
      </c>
      <c r="B164" s="6">
        <f>B156-2*B161</f>
        <v>574.63000000000011</v>
      </c>
    </row>
    <row r="165" spans="1:5" x14ac:dyDescent="0.25">
      <c r="A165" s="12" t="s">
        <v>177</v>
      </c>
    </row>
    <row r="166" spans="1:5" x14ac:dyDescent="0.25">
      <c r="A166" s="18" t="s">
        <v>178</v>
      </c>
      <c r="B166" s="6">
        <f>ROUND(13*10^-7*D66*B108^3*1,2)</f>
        <v>5.49</v>
      </c>
    </row>
    <row r="167" spans="1:5" x14ac:dyDescent="0.25">
      <c r="A167" s="12" t="s">
        <v>179</v>
      </c>
      <c r="B167" s="11" t="s">
        <v>182</v>
      </c>
      <c r="C167" s="11" t="s">
        <v>183</v>
      </c>
      <c r="D167" s="12" t="s">
        <v>180</v>
      </c>
      <c r="E167" s="12" t="s">
        <v>181</v>
      </c>
    </row>
    <row r="168" spans="1:5" x14ac:dyDescent="0.25">
      <c r="A168" s="18">
        <v>1</v>
      </c>
      <c r="B168" s="6">
        <v>1</v>
      </c>
      <c r="C168" s="6">
        <v>0.48</v>
      </c>
      <c r="D168" s="6">
        <f>2.1*10^5</f>
        <v>210000</v>
      </c>
      <c r="E168">
        <v>180</v>
      </c>
    </row>
    <row r="169" spans="1:5" x14ac:dyDescent="0.25">
      <c r="A169" s="11" t="s">
        <v>176</v>
      </c>
    </row>
    <row r="170" spans="1:5" x14ac:dyDescent="0.25">
      <c r="A170"/>
      <c r="B170" s="6">
        <f>ROUND(0.47*SQRT(C168*(B146*B168+B166)*D168/(E168*A168)),2)</f>
        <v>454.09</v>
      </c>
    </row>
    <row r="172" spans="1:5" x14ac:dyDescent="0.25">
      <c r="A172" s="6" t="s">
        <v>184</v>
      </c>
    </row>
    <row r="173" spans="1:5" x14ac:dyDescent="0.25">
      <c r="A173" s="6" t="s">
        <v>185</v>
      </c>
      <c r="B173" s="6" t="s">
        <v>187</v>
      </c>
      <c r="C173" s="6" t="s">
        <v>189</v>
      </c>
      <c r="D173" t="s">
        <v>191</v>
      </c>
    </row>
    <row r="174" spans="1:5" x14ac:dyDescent="0.25">
      <c r="A174" t="s">
        <v>186</v>
      </c>
      <c r="B174" s="6" t="s">
        <v>188</v>
      </c>
      <c r="C174" s="6" t="s">
        <v>190</v>
      </c>
      <c r="D174" t="s">
        <v>192</v>
      </c>
    </row>
    <row r="176" spans="1:5" x14ac:dyDescent="0.25">
      <c r="A176" s="4" t="s">
        <v>193</v>
      </c>
    </row>
    <row r="177" spans="1:3" x14ac:dyDescent="0.25">
      <c r="A177" t="s">
        <v>194</v>
      </c>
    </row>
    <row r="178" spans="1:3" x14ac:dyDescent="0.25">
      <c r="A178" t="s">
        <v>195</v>
      </c>
      <c r="B178" s="6">
        <v>1.05</v>
      </c>
      <c r="C178" s="6" t="s">
        <v>196</v>
      </c>
    </row>
    <row r="179" spans="1:3" x14ac:dyDescent="0.25">
      <c r="A179" s="12" t="s">
        <v>197</v>
      </c>
    </row>
    <row r="180" spans="1:3" x14ac:dyDescent="0.25">
      <c r="A180" t="s">
        <v>198</v>
      </c>
      <c r="B180" s="6">
        <f>ROUND(B178*B146,2)</f>
        <v>1744.42</v>
      </c>
    </row>
    <row r="182" spans="1:3" x14ac:dyDescent="0.25">
      <c r="A182" s="4" t="s">
        <v>199</v>
      </c>
    </row>
    <row r="184" spans="1:3" ht="14.4" thickBot="1" x14ac:dyDescent="0.3">
      <c r="A184" t="s">
        <v>200</v>
      </c>
      <c r="B184" s="21" t="s">
        <v>201</v>
      </c>
      <c r="C184" s="21" t="s">
        <v>202</v>
      </c>
    </row>
    <row r="185" spans="1:3" ht="14.4" thickBot="1" x14ac:dyDescent="0.3">
      <c r="A185" s="19" t="s">
        <v>203</v>
      </c>
      <c r="B185" s="21"/>
      <c r="C185" s="21" t="s">
        <v>83</v>
      </c>
    </row>
    <row r="186" spans="1:3" ht="14.4" thickBot="1" x14ac:dyDescent="0.3">
      <c r="A186" s="20" t="s">
        <v>204</v>
      </c>
      <c r="B186"/>
      <c r="C186">
        <v>1</v>
      </c>
    </row>
    <row r="187" spans="1:3" ht="14.4" thickBot="1" x14ac:dyDescent="0.3">
      <c r="A187" s="20" t="s">
        <v>119</v>
      </c>
      <c r="B187"/>
      <c r="C187">
        <f>B108</f>
        <v>25.4</v>
      </c>
    </row>
    <row r="188" spans="1:3" ht="14.4" thickBot="1" x14ac:dyDescent="0.3">
      <c r="A188" s="20" t="s">
        <v>131</v>
      </c>
      <c r="B188"/>
      <c r="C188">
        <f>B123</f>
        <v>130</v>
      </c>
    </row>
    <row r="189" spans="1:3" ht="14.4" thickBot="1" x14ac:dyDescent="0.3">
      <c r="A189" s="20" t="s">
        <v>135</v>
      </c>
      <c r="B189"/>
      <c r="C189">
        <f>B125</f>
        <v>3302</v>
      </c>
    </row>
    <row r="190" spans="1:3" ht="14.4" thickBot="1" x14ac:dyDescent="0.3">
      <c r="A190" s="20" t="s">
        <v>132</v>
      </c>
      <c r="B190"/>
      <c r="C190">
        <f>B133</f>
        <v>1019</v>
      </c>
    </row>
    <row r="191" spans="1:3" ht="14.4" thickBot="1" x14ac:dyDescent="0.3">
      <c r="A191" s="20" t="s">
        <v>205</v>
      </c>
      <c r="B191"/>
      <c r="C191">
        <f>C74</f>
        <v>23</v>
      </c>
    </row>
    <row r="192" spans="1:3" ht="14.4" thickBot="1" x14ac:dyDescent="0.3">
      <c r="A192" s="20" t="s">
        <v>206</v>
      </c>
      <c r="B192"/>
      <c r="C192">
        <f>C75</f>
        <v>73</v>
      </c>
    </row>
    <row r="193" spans="1:3" ht="14.4" thickBot="1" x14ac:dyDescent="0.3">
      <c r="A193" s="20" t="s">
        <v>207</v>
      </c>
      <c r="B193"/>
      <c r="C193">
        <f>B155</f>
        <v>186.63</v>
      </c>
    </row>
    <row r="194" spans="1:3" ht="14.4" thickBot="1" x14ac:dyDescent="0.3">
      <c r="A194" s="20" t="s">
        <v>208</v>
      </c>
      <c r="B194"/>
      <c r="C194">
        <f>B156</f>
        <v>590.69000000000005</v>
      </c>
    </row>
    <row r="195" spans="1:3" ht="14.4" thickBot="1" x14ac:dyDescent="0.3">
      <c r="A195" s="20" t="s">
        <v>214</v>
      </c>
      <c r="B195"/>
      <c r="C195">
        <f>B158</f>
        <v>197.59</v>
      </c>
    </row>
    <row r="196" spans="1:3" ht="14.4" thickBot="1" x14ac:dyDescent="0.3">
      <c r="A196" s="20" t="s">
        <v>215</v>
      </c>
      <c r="B196"/>
      <c r="C196">
        <f>B159</f>
        <v>602.85</v>
      </c>
    </row>
    <row r="197" spans="1:3" ht="14.4" thickBot="1" x14ac:dyDescent="0.3">
      <c r="A197" s="20" t="s">
        <v>170</v>
      </c>
      <c r="B197"/>
      <c r="C197">
        <f>B161</f>
        <v>8.0299999999999994</v>
      </c>
    </row>
    <row r="198" spans="1:3" ht="14.4" thickBot="1" x14ac:dyDescent="0.3">
      <c r="A198" s="20" t="s">
        <v>209</v>
      </c>
      <c r="B198"/>
      <c r="C198">
        <f>B163</f>
        <v>170.57</v>
      </c>
    </row>
    <row r="199" spans="1:3" ht="14.4" thickBot="1" x14ac:dyDescent="0.3">
      <c r="A199" s="20" t="s">
        <v>210</v>
      </c>
      <c r="B199"/>
      <c r="C199">
        <f>B164</f>
        <v>574.63000000000011</v>
      </c>
    </row>
    <row r="200" spans="1:3" ht="14.4" thickBot="1" x14ac:dyDescent="0.3">
      <c r="A200" s="20" t="s">
        <v>211</v>
      </c>
      <c r="B200"/>
      <c r="C200">
        <f>B170</f>
        <v>454.09</v>
      </c>
    </row>
    <row r="201" spans="1:3" ht="14.4" thickBot="1" x14ac:dyDescent="0.3">
      <c r="A201" s="20" t="s">
        <v>212</v>
      </c>
      <c r="B201"/>
      <c r="C201" s="21" t="s">
        <v>186</v>
      </c>
    </row>
    <row r="202" spans="1:3" ht="14.4" thickBot="1" x14ac:dyDescent="0.3">
      <c r="A202" s="20" t="s">
        <v>88</v>
      </c>
      <c r="B202"/>
      <c r="C202">
        <f>B77</f>
        <v>3.17</v>
      </c>
    </row>
    <row r="203" spans="1:3" ht="14.4" thickBot="1" x14ac:dyDescent="0.3">
      <c r="A203" s="19" t="s">
        <v>213</v>
      </c>
      <c r="B203"/>
      <c r="C203">
        <f>H2</f>
        <v>60</v>
      </c>
    </row>
    <row r="204" spans="1:3" ht="14.4" thickBot="1" x14ac:dyDescent="0.3">
      <c r="A204" s="20" t="s">
        <v>197</v>
      </c>
      <c r="B204"/>
      <c r="C204">
        <f>B180</f>
        <v>1744.42</v>
      </c>
    </row>
    <row r="207" spans="1:3" x14ac:dyDescent="0.25">
      <c r="A207" s="13" t="s">
        <v>216</v>
      </c>
    </row>
    <row r="209" spans="1:7" x14ac:dyDescent="0.25">
      <c r="A209" s="4" t="s">
        <v>217</v>
      </c>
    </row>
    <row r="210" spans="1:7" x14ac:dyDescent="0.25">
      <c r="A210" s="6" t="s">
        <v>218</v>
      </c>
    </row>
    <row r="211" spans="1:7" x14ac:dyDescent="0.25">
      <c r="A211" s="12" t="s">
        <v>220</v>
      </c>
      <c r="B211" s="23" t="s">
        <v>221</v>
      </c>
      <c r="C211" s="23" t="s">
        <v>187</v>
      </c>
      <c r="D211" s="23" t="s">
        <v>222</v>
      </c>
      <c r="E211" s="24" t="s">
        <v>223</v>
      </c>
      <c r="F211" s="24" t="s">
        <v>224</v>
      </c>
      <c r="G211" s="24" t="s">
        <v>225</v>
      </c>
    </row>
    <row r="212" spans="1:7" x14ac:dyDescent="0.25">
      <c r="A212" t="s">
        <v>219</v>
      </c>
      <c r="B212" s="6">
        <v>45</v>
      </c>
      <c r="C212" s="22" t="s">
        <v>188</v>
      </c>
      <c r="D212" s="22">
        <v>60</v>
      </c>
      <c r="E212" s="22" t="s">
        <v>228</v>
      </c>
      <c r="F212" s="6">
        <v>850</v>
      </c>
      <c r="G212">
        <v>580</v>
      </c>
    </row>
    <row r="213" spans="1:7" x14ac:dyDescent="0.25">
      <c r="A213" t="s">
        <v>226</v>
      </c>
      <c r="B213" s="6">
        <v>45</v>
      </c>
      <c r="C213" s="22" t="s">
        <v>188</v>
      </c>
      <c r="D213" s="22">
        <v>100</v>
      </c>
      <c r="E213" s="22" t="s">
        <v>227</v>
      </c>
      <c r="F213" s="6">
        <v>750</v>
      </c>
      <c r="G213">
        <v>450</v>
      </c>
    </row>
    <row r="214" spans="1:7" x14ac:dyDescent="0.25">
      <c r="A214"/>
      <c r="C214" s="22"/>
      <c r="D214" s="22"/>
      <c r="E214" s="22"/>
      <c r="G214"/>
    </row>
    <row r="215" spans="1:7" x14ac:dyDescent="0.25">
      <c r="A215"/>
      <c r="C215" s="22"/>
      <c r="D215" s="22"/>
      <c r="E215" s="22"/>
      <c r="G215"/>
    </row>
    <row r="216" spans="1:7" x14ac:dyDescent="0.25">
      <c r="A216"/>
      <c r="C216" s="22"/>
      <c r="D216" s="22"/>
      <c r="E216" s="22"/>
      <c r="G216"/>
    </row>
    <row r="218" spans="1:7" x14ac:dyDescent="0.25">
      <c r="A218" s="4" t="s">
        <v>229</v>
      </c>
    </row>
    <row r="219" spans="1:7" x14ac:dyDescent="0.25">
      <c r="A219"/>
    </row>
    <row r="221" spans="1:7" x14ac:dyDescent="0.25">
      <c r="B221"/>
    </row>
    <row r="225" spans="1:3" x14ac:dyDescent="0.25">
      <c r="A225" s="6" t="s">
        <v>233</v>
      </c>
      <c r="B225" s="6">
        <v>250</v>
      </c>
    </row>
    <row r="226" spans="1:3" x14ac:dyDescent="0.25">
      <c r="A226" s="6" t="s">
        <v>234</v>
      </c>
      <c r="B226" s="6">
        <v>220</v>
      </c>
    </row>
    <row r="227" spans="1:3" x14ac:dyDescent="0.25">
      <c r="A227" s="11" t="s">
        <v>191</v>
      </c>
      <c r="C227" s="43" t="s">
        <v>230</v>
      </c>
    </row>
    <row r="228" spans="1:3" x14ac:dyDescent="0.25">
      <c r="A228"/>
      <c r="C228" s="43"/>
    </row>
    <row r="229" spans="1:3" x14ac:dyDescent="0.25">
      <c r="A229" t="s">
        <v>231</v>
      </c>
      <c r="B229" s="6">
        <f>2*B225+70</f>
        <v>570</v>
      </c>
      <c r="C229" s="43"/>
    </row>
    <row r="230" spans="1:3" x14ac:dyDescent="0.25">
      <c r="A230" t="s">
        <v>232</v>
      </c>
      <c r="B230" s="6">
        <f>2*B226+70</f>
        <v>510</v>
      </c>
      <c r="C230" s="43"/>
    </row>
    <row r="231" spans="1:3" x14ac:dyDescent="0.25">
      <c r="A231" s="11" t="s">
        <v>256</v>
      </c>
      <c r="C231" s="43"/>
    </row>
    <row r="232" spans="1:3" x14ac:dyDescent="0.25">
      <c r="A232"/>
      <c r="C232" s="43"/>
    </row>
    <row r="233" spans="1:3" x14ac:dyDescent="0.25">
      <c r="A233" t="s">
        <v>231</v>
      </c>
      <c r="B233" s="6">
        <f>1.8*B225</f>
        <v>450</v>
      </c>
      <c r="C233" s="43"/>
    </row>
    <row r="234" spans="1:3" x14ac:dyDescent="0.25">
      <c r="A234" t="s">
        <v>232</v>
      </c>
      <c r="B234" s="6">
        <f>1.8*B226</f>
        <v>396</v>
      </c>
      <c r="C234" s="43"/>
    </row>
    <row r="235" spans="1:3" x14ac:dyDescent="0.25">
      <c r="C235" s="43"/>
    </row>
    <row r="236" spans="1:3" x14ac:dyDescent="0.25">
      <c r="A236" s="12" t="s">
        <v>235</v>
      </c>
      <c r="C236" s="43"/>
    </row>
    <row r="237" spans="1:3" x14ac:dyDescent="0.25">
      <c r="A237" t="s">
        <v>236</v>
      </c>
      <c r="B237" s="6">
        <v>1.1000000000000001</v>
      </c>
      <c r="C237" s="43"/>
    </row>
    <row r="238" spans="1:3" x14ac:dyDescent="0.25">
      <c r="A238" t="s">
        <v>237</v>
      </c>
      <c r="B238" s="6">
        <v>1.75</v>
      </c>
      <c r="C238" s="43"/>
    </row>
    <row r="240" spans="1:3" x14ac:dyDescent="0.25">
      <c r="A240" s="12" t="s">
        <v>238</v>
      </c>
    </row>
    <row r="241" spans="1:3" x14ac:dyDescent="0.25">
      <c r="A241" t="s">
        <v>239</v>
      </c>
      <c r="B241" s="6">
        <f>1</f>
        <v>1</v>
      </c>
      <c r="C241" s="6" t="s">
        <v>240</v>
      </c>
    </row>
    <row r="243" spans="1:3" x14ac:dyDescent="0.25">
      <c r="A243" s="12" t="s">
        <v>241</v>
      </c>
    </row>
    <row r="244" spans="1:3" x14ac:dyDescent="0.25">
      <c r="A244" t="s">
        <v>242</v>
      </c>
      <c r="B244" s="6">
        <v>6</v>
      </c>
      <c r="C244" s="43" t="s">
        <v>244</v>
      </c>
    </row>
    <row r="245" spans="1:3" x14ac:dyDescent="0.25">
      <c r="A245" t="s">
        <v>243</v>
      </c>
      <c r="B245" s="6">
        <v>6</v>
      </c>
      <c r="C245" s="43"/>
    </row>
    <row r="247" spans="1:3" x14ac:dyDescent="0.25">
      <c r="A247" s="12" t="s">
        <v>245</v>
      </c>
    </row>
    <row r="248" spans="1:3" x14ac:dyDescent="0.25">
      <c r="A248" t="s">
        <v>231</v>
      </c>
      <c r="B248" s="6">
        <f>30*B225^2.4</f>
        <v>17067789.403369471</v>
      </c>
    </row>
    <row r="249" spans="1:3" x14ac:dyDescent="0.25">
      <c r="A249" t="s">
        <v>232</v>
      </c>
      <c r="B249" s="6">
        <f>30*B226^2.4</f>
        <v>12558439.817137647</v>
      </c>
    </row>
    <row r="251" spans="1:3" x14ac:dyDescent="0.25">
      <c r="A251" s="12" t="s">
        <v>246</v>
      </c>
    </row>
    <row r="252" spans="1:3" x14ac:dyDescent="0.25">
      <c r="A252" t="s">
        <v>247</v>
      </c>
      <c r="B252" s="6">
        <f>4*10^6</f>
        <v>4000000</v>
      </c>
      <c r="C252" s="6" t="s">
        <v>248</v>
      </c>
    </row>
    <row r="254" spans="1:3" x14ac:dyDescent="0.25">
      <c r="A254" s="12" t="s">
        <v>249</v>
      </c>
      <c r="B254" s="6" t="s">
        <v>250</v>
      </c>
      <c r="C254" s="6" t="s">
        <v>251</v>
      </c>
    </row>
    <row r="255" spans="1:3" x14ac:dyDescent="0.25">
      <c r="A255" t="s">
        <v>231</v>
      </c>
      <c r="B255" s="6">
        <f>60*1*C66*F2</f>
        <v>1127100000</v>
      </c>
    </row>
    <row r="256" spans="1:3" x14ac:dyDescent="0.25">
      <c r="A256" t="s">
        <v>232</v>
      </c>
      <c r="B256" s="6">
        <f>60*1*D66*F2</f>
        <v>200912400</v>
      </c>
    </row>
    <row r="258" spans="1:2" x14ac:dyDescent="0.25">
      <c r="A258" t="s">
        <v>252</v>
      </c>
      <c r="B258" s="6">
        <v>1</v>
      </c>
    </row>
    <row r="259" spans="1:2" x14ac:dyDescent="0.25">
      <c r="A259" t="s">
        <v>253</v>
      </c>
      <c r="B259" s="6">
        <v>1</v>
      </c>
    </row>
    <row r="260" spans="1:2" x14ac:dyDescent="0.25">
      <c r="A260" t="s">
        <v>254</v>
      </c>
      <c r="B260" s="6">
        <v>1</v>
      </c>
    </row>
    <row r="261" spans="1:2" x14ac:dyDescent="0.25">
      <c r="A261" t="s">
        <v>255</v>
      </c>
      <c r="B261">
        <v>1</v>
      </c>
    </row>
    <row r="263" spans="1:2" x14ac:dyDescent="0.25">
      <c r="A263" s="12" t="s">
        <v>191</v>
      </c>
    </row>
    <row r="264" spans="1:2" x14ac:dyDescent="0.25">
      <c r="A264" t="s">
        <v>231</v>
      </c>
      <c r="B264" s="6">
        <f>ROUND(B229*B258/B237,2)</f>
        <v>518.17999999999995</v>
      </c>
    </row>
    <row r="265" spans="1:2" x14ac:dyDescent="0.25">
      <c r="A265" t="s">
        <v>232</v>
      </c>
      <c r="B265" s="6">
        <f>ROUND(B230*B260/B237,2)</f>
        <v>463.64</v>
      </c>
    </row>
    <row r="266" spans="1:2" x14ac:dyDescent="0.25">
      <c r="A266" s="12" t="s">
        <v>256</v>
      </c>
    </row>
    <row r="267" spans="1:2" x14ac:dyDescent="0.25">
      <c r="A267" t="s">
        <v>231</v>
      </c>
      <c r="B267" s="6">
        <f>ROUND(B233*B259/B238,2)</f>
        <v>257.14</v>
      </c>
    </row>
    <row r="268" spans="1:2" x14ac:dyDescent="0.25">
      <c r="A268" t="s">
        <v>232</v>
      </c>
      <c r="B268" s="6">
        <f>ROUND(B234*B260/B238,2)</f>
        <v>226.29</v>
      </c>
    </row>
    <row r="270" spans="1:2" x14ac:dyDescent="0.25">
      <c r="A270" s="12" t="s">
        <v>257</v>
      </c>
    </row>
    <row r="271" spans="1:2" x14ac:dyDescent="0.25">
      <c r="A271"/>
      <c r="B271" s="6">
        <f>MIN(B264,B265)</f>
        <v>463.64</v>
      </c>
    </row>
    <row r="272" spans="1:2" x14ac:dyDescent="0.25">
      <c r="A272" s="11" t="s">
        <v>258</v>
      </c>
    </row>
    <row r="273" spans="1:2" x14ac:dyDescent="0.25">
      <c r="A273"/>
      <c r="B273" s="6">
        <f>2.8*MAX(G212,G213)</f>
        <v>1624</v>
      </c>
    </row>
    <row r="274" spans="1:2" x14ac:dyDescent="0.25">
      <c r="A274" s="11" t="s">
        <v>259</v>
      </c>
    </row>
    <row r="275" spans="1:2" x14ac:dyDescent="0.25">
      <c r="A275"/>
      <c r="B275" s="6">
        <f>0.8*G212</f>
        <v>464</v>
      </c>
    </row>
    <row r="276" spans="1:2" x14ac:dyDescent="0.25">
      <c r="A276"/>
      <c r="B276" s="6">
        <f>0.8*G213</f>
        <v>360</v>
      </c>
    </row>
    <row r="278" spans="1:2" x14ac:dyDescent="0.25">
      <c r="A278" s="4" t="s">
        <v>260</v>
      </c>
    </row>
    <row r="279" spans="1:2" x14ac:dyDescent="0.25">
      <c r="A279" s="4" t="s">
        <v>261</v>
      </c>
    </row>
    <row r="280" spans="1:2" x14ac:dyDescent="0.25">
      <c r="A280" t="s">
        <v>263</v>
      </c>
      <c r="B280" s="6">
        <v>49.5</v>
      </c>
    </row>
    <row r="281" spans="1:2" x14ac:dyDescent="0.25">
      <c r="A281"/>
      <c r="B281" s="6">
        <v>0.3</v>
      </c>
    </row>
    <row r="282" spans="1:2" x14ac:dyDescent="0.25">
      <c r="A282"/>
      <c r="B282" s="6">
        <f>ROUND(0.53*B281*(B31+1),3)</f>
        <v>1.0509999999999999</v>
      </c>
    </row>
    <row r="283" spans="1:2" x14ac:dyDescent="0.25">
      <c r="A283"/>
      <c r="B283" s="6">
        <v>1.03</v>
      </c>
    </row>
    <row r="284" spans="1:2" x14ac:dyDescent="0.25">
      <c r="A284" s="4"/>
    </row>
    <row r="285" spans="1:2" x14ac:dyDescent="0.25">
      <c r="A285" s="11" t="s">
        <v>262</v>
      </c>
      <c r="B285">
        <f>ROUND(B280*(B31+1)*(C67*B283/(B271^2*B31*B281))^(1/3),2)</f>
        <v>141.94999999999999</v>
      </c>
    </row>
    <row r="286" spans="1:2" x14ac:dyDescent="0.25">
      <c r="A286"/>
      <c r="B286" s="6">
        <f>140</f>
        <v>140</v>
      </c>
    </row>
    <row r="288" spans="1:2" x14ac:dyDescent="0.25">
      <c r="A288" s="4" t="s">
        <v>264</v>
      </c>
    </row>
    <row r="289" spans="1:4" x14ac:dyDescent="0.25">
      <c r="A289" s="11" t="s">
        <v>265</v>
      </c>
    </row>
    <row r="290" spans="1:4" x14ac:dyDescent="0.25">
      <c r="A290" s="6" t="s">
        <v>266</v>
      </c>
      <c r="B290" s="6">
        <f>0.01*B286</f>
        <v>1.4000000000000001</v>
      </c>
      <c r="C290" s="43">
        <v>2</v>
      </c>
    </row>
    <row r="291" spans="1:4" x14ac:dyDescent="0.25">
      <c r="B291" s="6">
        <f>0.02*B286</f>
        <v>2.8000000000000003</v>
      </c>
      <c r="C291" s="43"/>
      <c r="D291" s="6" t="s">
        <v>267</v>
      </c>
    </row>
    <row r="293" spans="1:4" x14ac:dyDescent="0.25">
      <c r="A293" s="12" t="s">
        <v>268</v>
      </c>
    </row>
    <row r="294" spans="1:4" x14ac:dyDescent="0.25">
      <c r="A294" t="s">
        <v>269</v>
      </c>
      <c r="B294" s="6">
        <v>0</v>
      </c>
    </row>
    <row r="295" spans="1:4" x14ac:dyDescent="0.25">
      <c r="A295" s="6" t="s">
        <v>270</v>
      </c>
      <c r="B295" s="6">
        <f>ROUND(2*B286/(2*(B31+1)),2)</f>
        <v>21.18</v>
      </c>
      <c r="C295" s="6">
        <v>21</v>
      </c>
    </row>
    <row r="296" spans="1:4" x14ac:dyDescent="0.25">
      <c r="A296" t="s">
        <v>271</v>
      </c>
      <c r="B296" s="6">
        <f>C295*B31</f>
        <v>117.81</v>
      </c>
      <c r="C296" s="6">
        <v>118</v>
      </c>
    </row>
    <row r="297" spans="1:4" x14ac:dyDescent="0.25">
      <c r="A297" s="12" t="s">
        <v>272</v>
      </c>
    </row>
    <row r="298" spans="1:4" x14ac:dyDescent="0.25">
      <c r="A298" t="s">
        <v>273</v>
      </c>
      <c r="B298" s="25">
        <f>C290*(C296+C295)/2</f>
        <v>139</v>
      </c>
    </row>
    <row r="299" spans="1:4" x14ac:dyDescent="0.25">
      <c r="A299" s="12" t="s">
        <v>88</v>
      </c>
    </row>
    <row r="300" spans="1:4" x14ac:dyDescent="0.25">
      <c r="A300" t="s">
        <v>274</v>
      </c>
      <c r="B300" s="6">
        <f>ROUND(C296/C295,2)</f>
        <v>5.62</v>
      </c>
    </row>
    <row r="301" spans="1:4" x14ac:dyDescent="0.25">
      <c r="A301" s="12" t="s">
        <v>90</v>
      </c>
    </row>
    <row r="302" spans="1:4" x14ac:dyDescent="0.25">
      <c r="A302" t="s">
        <v>91</v>
      </c>
      <c r="B302" s="6">
        <f>ABS(B300-B31)/B31</f>
        <v>1.7825311942958621E-3</v>
      </c>
      <c r="C302" s="6" t="s">
        <v>275</v>
      </c>
    </row>
    <row r="304" spans="1:4" x14ac:dyDescent="0.25">
      <c r="A304" s="12" t="s">
        <v>276</v>
      </c>
    </row>
    <row r="305" spans="1:3" x14ac:dyDescent="0.25">
      <c r="A305" t="s">
        <v>277</v>
      </c>
      <c r="B305" s="6" t="s">
        <v>278</v>
      </c>
      <c r="C305" s="6" t="s">
        <v>279</v>
      </c>
    </row>
    <row r="306" spans="1:3" x14ac:dyDescent="0.25">
      <c r="B306" s="30">
        <v>0</v>
      </c>
      <c r="C306" s="30">
        <v>0</v>
      </c>
    </row>
    <row r="307" spans="1:3" x14ac:dyDescent="0.25">
      <c r="A307" s="4" t="s">
        <v>280</v>
      </c>
    </row>
    <row r="308" spans="1:3" x14ac:dyDescent="0.25">
      <c r="A308" s="12" t="s">
        <v>281</v>
      </c>
    </row>
    <row r="309" spans="1:3" x14ac:dyDescent="0.25">
      <c r="A309" s="6" t="s">
        <v>142</v>
      </c>
      <c r="B309" s="6">
        <f>0.5*C290*(C295+C296)/COS(B294)</f>
        <v>139</v>
      </c>
    </row>
    <row r="310" spans="1:3" x14ac:dyDescent="0.25">
      <c r="A310" s="12" t="s">
        <v>282</v>
      </c>
    </row>
    <row r="311" spans="1:3" x14ac:dyDescent="0.25">
      <c r="A311" s="6" t="s">
        <v>273</v>
      </c>
      <c r="B311" s="6">
        <f>B309+(B306+C306-0)*C290</f>
        <v>139</v>
      </c>
    </row>
    <row r="312" spans="1:3" x14ac:dyDescent="0.25">
      <c r="A312" s="11" t="s">
        <v>285</v>
      </c>
    </row>
    <row r="313" spans="1:3" x14ac:dyDescent="0.25">
      <c r="A313" t="s">
        <v>286</v>
      </c>
      <c r="B313" s="6">
        <f>C290*C295/COS(B294)</f>
        <v>42</v>
      </c>
    </row>
    <row r="314" spans="1:3" x14ac:dyDescent="0.25">
      <c r="A314" s="26" t="s">
        <v>287</v>
      </c>
      <c r="B314" s="6">
        <f>C290*C296/COS(B294)</f>
        <v>236</v>
      </c>
    </row>
    <row r="315" spans="1:3" x14ac:dyDescent="0.25">
      <c r="A315" s="11" t="s">
        <v>288</v>
      </c>
    </row>
    <row r="316" spans="1:3" x14ac:dyDescent="0.25">
      <c r="A316" s="6" t="s">
        <v>289</v>
      </c>
      <c r="B316" s="6">
        <f>ROUND(2*B311/(B300+1),2)</f>
        <v>41.99</v>
      </c>
    </row>
    <row r="317" spans="1:3" x14ac:dyDescent="0.25">
      <c r="A317" s="6" t="s">
        <v>290</v>
      </c>
      <c r="B317" s="6">
        <f>ROUND(B316*B300,2)</f>
        <v>235.98</v>
      </c>
    </row>
    <row r="318" spans="1:3" x14ac:dyDescent="0.25">
      <c r="A318" s="12" t="s">
        <v>291</v>
      </c>
    </row>
    <row r="319" spans="1:3" x14ac:dyDescent="0.25">
      <c r="A319" s="6" t="s">
        <v>168</v>
      </c>
      <c r="B319" s="6">
        <f>B313+2*(1+B306-0)*C290</f>
        <v>46</v>
      </c>
    </row>
    <row r="320" spans="1:3" x14ac:dyDescent="0.25">
      <c r="A320" t="s">
        <v>169</v>
      </c>
      <c r="B320" s="6">
        <f>B314+2*(1+C306-0)*C290</f>
        <v>240</v>
      </c>
    </row>
    <row r="321" spans="1:2" x14ac:dyDescent="0.25">
      <c r="A321" s="12" t="s">
        <v>292</v>
      </c>
    </row>
    <row r="322" spans="1:2" x14ac:dyDescent="0.25">
      <c r="A322" t="s">
        <v>174</v>
      </c>
      <c r="B322" s="6">
        <f>B313-(2.5-2*B306)*C290</f>
        <v>37</v>
      </c>
    </row>
    <row r="323" spans="1:2" x14ac:dyDescent="0.25">
      <c r="A323" t="s">
        <v>175</v>
      </c>
      <c r="B323" s="6">
        <f>B314-(2.5-2*C306)*C290</f>
        <v>231</v>
      </c>
    </row>
    <row r="324" spans="1:2" x14ac:dyDescent="0.25">
      <c r="A324" s="12" t="s">
        <v>293</v>
      </c>
    </row>
    <row r="325" spans="1:2" x14ac:dyDescent="0.25">
      <c r="A325" t="s">
        <v>294</v>
      </c>
      <c r="B325" s="6">
        <f>ROUND(B313*COS(B328),2)</f>
        <v>17.14</v>
      </c>
    </row>
    <row r="326" spans="1:2" x14ac:dyDescent="0.25">
      <c r="A326" t="s">
        <v>295</v>
      </c>
      <c r="B326" s="6">
        <f>ROUND(B314*COS(B328),2)</f>
        <v>96.31</v>
      </c>
    </row>
    <row r="327" spans="1:2" x14ac:dyDescent="0.25">
      <c r="A327" s="12" t="s">
        <v>296</v>
      </c>
    </row>
    <row r="328" spans="1:2" x14ac:dyDescent="0.25">
      <c r="A328" t="s">
        <v>297</v>
      </c>
      <c r="B328" s="6">
        <v>20</v>
      </c>
    </row>
    <row r="329" spans="1:2" x14ac:dyDescent="0.25">
      <c r="A329" s="12" t="s">
        <v>298</v>
      </c>
    </row>
    <row r="330" spans="1:2" x14ac:dyDescent="0.25">
      <c r="A330" t="s">
        <v>299</v>
      </c>
      <c r="B330" s="6">
        <f>DEGREES(ATAN(TAN(RADIANS(B328))/COS(RADIANS(B294))))</f>
        <v>20</v>
      </c>
    </row>
    <row r="331" spans="1:2" x14ac:dyDescent="0.25">
      <c r="A331" s="12" t="s">
        <v>300</v>
      </c>
    </row>
    <row r="332" spans="1:2" x14ac:dyDescent="0.25">
      <c r="A332" t="s">
        <v>301</v>
      </c>
      <c r="B332">
        <f>DEGREES(ACOS(B309*COS(RADIANS(B330))/B311))</f>
        <v>19.999999999999989</v>
      </c>
    </row>
    <row r="335" spans="1:2" x14ac:dyDescent="0.25">
      <c r="A335" s="4" t="s">
        <v>302</v>
      </c>
    </row>
    <row r="339" spans="1:5" x14ac:dyDescent="0.25">
      <c r="A339" s="11" t="s">
        <v>321</v>
      </c>
    </row>
    <row r="340" spans="1:5" x14ac:dyDescent="0.25">
      <c r="A340" s="6" t="s">
        <v>322</v>
      </c>
      <c r="B340" s="6">
        <f>B281*B311</f>
        <v>41.699999999999996</v>
      </c>
    </row>
    <row r="342" spans="1:5" x14ac:dyDescent="0.25">
      <c r="A342" s="11" t="s">
        <v>303</v>
      </c>
    </row>
    <row r="343" spans="1:5" x14ac:dyDescent="0.25">
      <c r="A343" s="6" t="s">
        <v>304</v>
      </c>
      <c r="B343" s="6">
        <v>274</v>
      </c>
    </row>
    <row r="344" spans="1:5" x14ac:dyDescent="0.25">
      <c r="A344" s="11" t="s">
        <v>307</v>
      </c>
    </row>
    <row r="345" spans="1:5" x14ac:dyDescent="0.25">
      <c r="A345" s="6" t="s">
        <v>305</v>
      </c>
      <c r="B345" s="6">
        <f>ROUND(SQRT(2*COS(0)/SIN(RADIANS(2*B332))),2)</f>
        <v>1.76</v>
      </c>
    </row>
    <row r="346" spans="1:5" x14ac:dyDescent="0.25">
      <c r="A346" s="12" t="s">
        <v>308</v>
      </c>
    </row>
    <row r="347" spans="1:5" x14ac:dyDescent="0.25">
      <c r="A347" t="s">
        <v>325</v>
      </c>
      <c r="B347" s="6">
        <f>ROUND((1.88-3.2*(1/C295+1/C296))*COS(B306),2)</f>
        <v>1.7</v>
      </c>
    </row>
    <row r="348" spans="1:5" x14ac:dyDescent="0.25">
      <c r="A348" s="12" t="s">
        <v>326</v>
      </c>
    </row>
    <row r="349" spans="1:5" x14ac:dyDescent="0.25">
      <c r="A349" t="s">
        <v>327</v>
      </c>
      <c r="B349" s="6">
        <f>B340*SIN(B306)/(C290*PI())</f>
        <v>0</v>
      </c>
    </row>
    <row r="350" spans="1:5" x14ac:dyDescent="0.25">
      <c r="A350" s="12" t="s">
        <v>309</v>
      </c>
    </row>
    <row r="351" spans="1:5" ht="14.4" x14ac:dyDescent="0.3">
      <c r="A351" t="s">
        <v>306</v>
      </c>
      <c r="B351" s="6">
        <f>ROUND(SQRT((4-B347)/3),2)</f>
        <v>0.88</v>
      </c>
    </row>
    <row r="352" spans="1:5" x14ac:dyDescent="0.25">
      <c r="A352" s="12" t="s">
        <v>310</v>
      </c>
      <c r="C352" s="22" t="s">
        <v>312</v>
      </c>
      <c r="D352" s="22" t="s">
        <v>313</v>
      </c>
      <c r="E352" s="22" t="s">
        <v>314</v>
      </c>
    </row>
    <row r="353" spans="1:7" x14ac:dyDescent="0.25">
      <c r="A353" t="s">
        <v>311</v>
      </c>
      <c r="B353" s="6">
        <f>ROUND(C353*D353*F356,2)</f>
        <v>1.1599999999999999</v>
      </c>
      <c r="C353" s="6">
        <v>1.03</v>
      </c>
      <c r="D353" s="6">
        <v>1</v>
      </c>
      <c r="E353" s="6">
        <f>ROUND(PI()*B316*C66/60000,2)</f>
        <v>3.18</v>
      </c>
      <c r="F353" s="6" t="s">
        <v>315</v>
      </c>
      <c r="G353" s="6" t="s">
        <v>316</v>
      </c>
    </row>
    <row r="354" spans="1:7" x14ac:dyDescent="0.25">
      <c r="A354"/>
      <c r="C354" s="22" t="s">
        <v>341</v>
      </c>
    </row>
    <row r="355" spans="1:7" x14ac:dyDescent="0.25">
      <c r="A355" s="12" t="s">
        <v>320</v>
      </c>
      <c r="C355" s="6">
        <v>1.05</v>
      </c>
      <c r="E355" s="6" t="s">
        <v>317</v>
      </c>
      <c r="F355" s="6" t="s">
        <v>318</v>
      </c>
      <c r="G355" s="6" t="s">
        <v>319</v>
      </c>
    </row>
    <row r="356" spans="1:7" x14ac:dyDescent="0.25">
      <c r="A356"/>
      <c r="B356" s="6">
        <f>ROUND(B343*B345*B351*SQRT(2*C67*B353*(B300+1)/(B340*B300*B316^2)),2)</f>
        <v>438.18</v>
      </c>
      <c r="C356" s="21"/>
      <c r="D356" s="6">
        <f>B271</f>
        <v>463.64</v>
      </c>
      <c r="F356" s="6">
        <v>1.1272</v>
      </c>
      <c r="G356" s="6">
        <v>1.3062</v>
      </c>
    </row>
    <row r="357" spans="1:7" x14ac:dyDescent="0.25">
      <c r="B357" s="6" t="s">
        <v>323</v>
      </c>
    </row>
    <row r="363" spans="1:7" x14ac:dyDescent="0.25">
      <c r="A363" s="4" t="s">
        <v>324</v>
      </c>
    </row>
    <row r="365" spans="1:7" x14ac:dyDescent="0.25">
      <c r="A365" s="11" t="s">
        <v>328</v>
      </c>
    </row>
    <row r="366" spans="1:7" ht="14.4" x14ac:dyDescent="0.3">
      <c r="A366" t="s">
        <v>329</v>
      </c>
      <c r="B366" s="6">
        <f>ROUND(1/B347,3)</f>
        <v>0.58799999999999997</v>
      </c>
    </row>
    <row r="367" spans="1:7" x14ac:dyDescent="0.25">
      <c r="A367" s="12" t="s">
        <v>330</v>
      </c>
    </row>
    <row r="368" spans="1:7" x14ac:dyDescent="0.25">
      <c r="A368" s="6" t="s">
        <v>331</v>
      </c>
      <c r="B368" s="6">
        <v>1</v>
      </c>
    </row>
    <row r="369" spans="1:2" x14ac:dyDescent="0.25">
      <c r="A369" s="12" t="s">
        <v>334</v>
      </c>
    </row>
    <row r="370" spans="1:2" x14ac:dyDescent="0.25">
      <c r="A370" t="s">
        <v>332</v>
      </c>
      <c r="B370" s="6">
        <v>4.04</v>
      </c>
    </row>
    <row r="371" spans="1:2" x14ac:dyDescent="0.25">
      <c r="A371" s="18" t="s">
        <v>333</v>
      </c>
      <c r="B371" s="6">
        <v>3.6</v>
      </c>
    </row>
    <row r="372" spans="1:2" x14ac:dyDescent="0.25">
      <c r="A372" s="11" t="s">
        <v>335</v>
      </c>
    </row>
    <row r="373" spans="1:2" x14ac:dyDescent="0.25">
      <c r="A373" s="6" t="s">
        <v>338</v>
      </c>
      <c r="B373">
        <v>1</v>
      </c>
    </row>
    <row r="374" spans="1:2" x14ac:dyDescent="0.25">
      <c r="A374" s="11" t="s">
        <v>339</v>
      </c>
    </row>
    <row r="375" spans="1:2" x14ac:dyDescent="0.25">
      <c r="A375" s="6" t="s">
        <v>336</v>
      </c>
      <c r="B375">
        <f>G356</f>
        <v>1.3062</v>
      </c>
    </row>
    <row r="376" spans="1:2" x14ac:dyDescent="0.25">
      <c r="A376" s="11" t="s">
        <v>337</v>
      </c>
    </row>
    <row r="377" spans="1:2" x14ac:dyDescent="0.25">
      <c r="A377" t="s">
        <v>340</v>
      </c>
      <c r="B377" s="6">
        <f>ROUND(C355*B373*B375,3)</f>
        <v>1.3720000000000001</v>
      </c>
    </row>
    <row r="378" spans="1:2" x14ac:dyDescent="0.25">
      <c r="A378" s="12" t="s">
        <v>342</v>
      </c>
    </row>
    <row r="379" spans="1:2" x14ac:dyDescent="0.25">
      <c r="A379"/>
      <c r="B379" s="6">
        <f>ROUND(2*C67*B377*B366*B368*B370/(B340*B316*C290),2)</f>
        <v>53.39</v>
      </c>
    </row>
    <row r="380" spans="1:2" x14ac:dyDescent="0.25">
      <c r="A380" s="12" t="s">
        <v>343</v>
      </c>
    </row>
    <row r="381" spans="1:2" x14ac:dyDescent="0.25">
      <c r="A381"/>
      <c r="B381" s="6">
        <f>ROUND(B379*B371/B370,2)</f>
        <v>47.58</v>
      </c>
    </row>
    <row r="383" spans="1:2" x14ac:dyDescent="0.25">
      <c r="A383" s="6" t="s">
        <v>344</v>
      </c>
    </row>
    <row r="385" spans="1:3" x14ac:dyDescent="0.25">
      <c r="A385" s="4" t="s">
        <v>345</v>
      </c>
    </row>
    <row r="391" spans="1:3" x14ac:dyDescent="0.25">
      <c r="A391" s="11" t="s">
        <v>346</v>
      </c>
    </row>
    <row r="392" spans="1:3" x14ac:dyDescent="0.25">
      <c r="A392" s="6" t="s">
        <v>347</v>
      </c>
      <c r="B392" s="6">
        <v>2</v>
      </c>
      <c r="C392" s="6" t="s">
        <v>348</v>
      </c>
    </row>
    <row r="394" spans="1:3" x14ac:dyDescent="0.25">
      <c r="A394"/>
      <c r="B394" s="6">
        <f>ROUND(B356*SQRT(B392),2)</f>
        <v>619.67999999999995</v>
      </c>
      <c r="C394" s="6" t="s">
        <v>349</v>
      </c>
    </row>
    <row r="398" spans="1:3" x14ac:dyDescent="0.25">
      <c r="A398"/>
      <c r="B398" s="6">
        <f>B379*B392</f>
        <v>106.78</v>
      </c>
      <c r="C398" s="6" t="s">
        <v>350</v>
      </c>
    </row>
    <row r="399" spans="1:3" x14ac:dyDescent="0.25">
      <c r="A399"/>
      <c r="B399" s="6">
        <f>B381*B392</f>
        <v>95.16</v>
      </c>
      <c r="C399" s="6" t="s">
        <v>351</v>
      </c>
    </row>
    <row r="402" spans="1:3" x14ac:dyDescent="0.25">
      <c r="A402" s="4" t="s">
        <v>352</v>
      </c>
    </row>
    <row r="404" spans="1:3" ht="15" x14ac:dyDescent="0.25">
      <c r="A404" s="27"/>
      <c r="B404" s="28"/>
      <c r="C404" s="28"/>
    </row>
    <row r="405" spans="1:3" ht="15" x14ac:dyDescent="0.25">
      <c r="A405" s="27"/>
      <c r="B405" s="29"/>
      <c r="C405" s="29"/>
    </row>
    <row r="406" spans="1:3" ht="15.6" x14ac:dyDescent="0.25">
      <c r="A406" s="31" t="s">
        <v>354</v>
      </c>
      <c r="B406" s="29"/>
      <c r="C406" s="29"/>
    </row>
    <row r="407" spans="1:3" ht="15" x14ac:dyDescent="0.25">
      <c r="A407" s="32" t="s">
        <v>355</v>
      </c>
      <c r="B407" s="29"/>
      <c r="C407" s="29"/>
    </row>
    <row r="408" spans="1:3" ht="15" x14ac:dyDescent="0.25">
      <c r="A408" s="33" t="s">
        <v>356</v>
      </c>
      <c r="B408" s="29"/>
      <c r="C408" s="29"/>
    </row>
    <row r="409" spans="1:3" ht="15" x14ac:dyDescent="0.25">
      <c r="A409" s="27" t="s">
        <v>357</v>
      </c>
      <c r="B409" s="29">
        <f>B53</f>
        <v>29277.85</v>
      </c>
      <c r="C409" s="29"/>
    </row>
    <row r="410" spans="1:3" ht="15" x14ac:dyDescent="0.25">
      <c r="A410" s="33" t="s">
        <v>358</v>
      </c>
      <c r="B410" s="29"/>
      <c r="C410" s="29"/>
    </row>
    <row r="411" spans="1:3" ht="15" x14ac:dyDescent="0.25">
      <c r="A411" s="27" t="s">
        <v>359</v>
      </c>
      <c r="B411" s="29"/>
      <c r="C411" s="29"/>
    </row>
    <row r="412" spans="1:3" ht="15" x14ac:dyDescent="0.25">
      <c r="A412" s="27"/>
      <c r="B412" s="29">
        <v>32</v>
      </c>
      <c r="C412" s="29"/>
    </row>
    <row r="413" spans="1:3" ht="15" x14ac:dyDescent="0.25">
      <c r="A413" s="32" t="s">
        <v>360</v>
      </c>
      <c r="B413" s="29"/>
      <c r="C413" s="29"/>
    </row>
    <row r="414" spans="1:3" ht="15" x14ac:dyDescent="0.25">
      <c r="A414" s="27" t="s">
        <v>361</v>
      </c>
      <c r="B414" s="29" t="s">
        <v>363</v>
      </c>
      <c r="C414" s="29">
        <f>2</f>
        <v>2</v>
      </c>
    </row>
    <row r="415" spans="1:3" ht="15" x14ac:dyDescent="0.25">
      <c r="A415" s="27" t="s">
        <v>362</v>
      </c>
      <c r="B415" s="29">
        <f>C414*B409</f>
        <v>58555.7</v>
      </c>
      <c r="C415" s="29"/>
    </row>
    <row r="416" spans="1:3" ht="15" x14ac:dyDescent="0.25">
      <c r="A416" s="27"/>
      <c r="B416" s="29"/>
      <c r="C416" s="29"/>
    </row>
    <row r="417" spans="1:3" ht="15" x14ac:dyDescent="0.25">
      <c r="A417" s="32" t="s">
        <v>365</v>
      </c>
      <c r="B417" s="29"/>
      <c r="C417" s="29"/>
    </row>
    <row r="418" spans="1:3" ht="15" x14ac:dyDescent="0.25">
      <c r="A418" s="33" t="s">
        <v>364</v>
      </c>
      <c r="B418" s="29"/>
      <c r="C418" s="29"/>
    </row>
    <row r="419" spans="1:3" ht="15" x14ac:dyDescent="0.25">
      <c r="A419"/>
      <c r="B419" s="29">
        <f>ROUND(2*C414*B409/(B435*B436*B441*B437),3)</f>
        <v>0.83</v>
      </c>
      <c r="C419" s="29" t="s">
        <v>374</v>
      </c>
    </row>
    <row r="420" spans="1:3" ht="15" x14ac:dyDescent="0.25">
      <c r="A420" s="27"/>
      <c r="B420" s="29"/>
      <c r="C420" s="29"/>
    </row>
    <row r="421" spans="1:3" ht="15" x14ac:dyDescent="0.25">
      <c r="A421" s="33" t="s">
        <v>366</v>
      </c>
      <c r="B421" s="29"/>
      <c r="C421" s="29"/>
    </row>
    <row r="422" spans="1:3" ht="15" x14ac:dyDescent="0.25">
      <c r="A422"/>
      <c r="B422" s="29">
        <f>ROUND(C414*B409*B440/(0.1*B441^3*B436*B435),3)</f>
        <v>18.376000000000001</v>
      </c>
      <c r="C422" s="29" t="s">
        <v>374</v>
      </c>
    </row>
    <row r="423" spans="1:3" ht="15" x14ac:dyDescent="0.25">
      <c r="A423" s="27"/>
      <c r="B423" s="29"/>
      <c r="C423" s="29"/>
    </row>
    <row r="424" spans="1:3" ht="15" x14ac:dyDescent="0.25">
      <c r="A424" s="27"/>
      <c r="B424" s="29"/>
      <c r="C424" s="29"/>
    </row>
    <row r="425" spans="1:3" ht="15" x14ac:dyDescent="0.25">
      <c r="A425"/>
      <c r="C425" s="29"/>
    </row>
    <row r="426" spans="1:3" ht="15" x14ac:dyDescent="0.25">
      <c r="A426" s="27"/>
      <c r="B426" s="29"/>
      <c r="C426" s="29"/>
    </row>
    <row r="427" spans="1:3" x14ac:dyDescent="0.25">
      <c r="A427"/>
    </row>
    <row r="431" spans="1:3" ht="15" x14ac:dyDescent="0.25">
      <c r="B431" s="29">
        <f>125</f>
        <v>125</v>
      </c>
    </row>
    <row r="433" spans="1:5" x14ac:dyDescent="0.25">
      <c r="A433"/>
      <c r="B433" s="6">
        <v>36</v>
      </c>
    </row>
    <row r="435" spans="1:5" x14ac:dyDescent="0.25">
      <c r="A435" s="6" t="s">
        <v>367</v>
      </c>
      <c r="B435" s="6">
        <v>4</v>
      </c>
    </row>
    <row r="436" spans="1:5" x14ac:dyDescent="0.25">
      <c r="A436" s="6" t="s">
        <v>368</v>
      </c>
      <c r="B436" s="6">
        <v>90</v>
      </c>
    </row>
    <row r="437" spans="1:5" x14ac:dyDescent="0.25">
      <c r="A437" s="6" t="s">
        <v>369</v>
      </c>
      <c r="B437">
        <v>28</v>
      </c>
    </row>
    <row r="438" spans="1:5" x14ac:dyDescent="0.25">
      <c r="A438" t="s">
        <v>370</v>
      </c>
      <c r="B438">
        <v>21</v>
      </c>
    </row>
    <row r="439" spans="1:5" x14ac:dyDescent="0.25">
      <c r="A439" t="s">
        <v>371</v>
      </c>
      <c r="B439">
        <v>20</v>
      </c>
    </row>
    <row r="440" spans="1:5" x14ac:dyDescent="0.25">
      <c r="A440" t="s">
        <v>372</v>
      </c>
      <c r="B440" s="6">
        <f>B438+B439/2</f>
        <v>31</v>
      </c>
    </row>
    <row r="441" spans="1:5" x14ac:dyDescent="0.25">
      <c r="A441" t="s">
        <v>373</v>
      </c>
      <c r="B441">
        <v>14</v>
      </c>
    </row>
    <row r="444" spans="1:5" x14ac:dyDescent="0.25">
      <c r="A444" s="4" t="s">
        <v>375</v>
      </c>
    </row>
    <row r="445" spans="1:5" ht="14.4" thickBot="1" x14ac:dyDescent="0.3">
      <c r="A445" s="4" t="s">
        <v>376</v>
      </c>
    </row>
    <row r="446" spans="1:5" x14ac:dyDescent="0.25">
      <c r="A446" s="44" t="s">
        <v>377</v>
      </c>
      <c r="B446" s="44" t="s">
        <v>187</v>
      </c>
      <c r="C446" s="44" t="s">
        <v>378</v>
      </c>
      <c r="D446" s="44" t="e" vm="1">
        <v>#VALUE!</v>
      </c>
      <c r="E446" s="44" t="e" vm="2">
        <v>#VALUE!</v>
      </c>
    </row>
    <row r="447" spans="1:5" ht="14.4" thickBot="1" x14ac:dyDescent="0.3">
      <c r="A447" s="45"/>
      <c r="B447" s="45"/>
      <c r="C447" s="45"/>
      <c r="D447" s="45"/>
      <c r="E447" s="45"/>
    </row>
    <row r="448" spans="1:5" ht="14.4" thickBot="1" x14ac:dyDescent="0.3">
      <c r="A448" s="34" t="s">
        <v>379</v>
      </c>
      <c r="B448" s="35" t="s">
        <v>188</v>
      </c>
      <c r="C448" s="35" t="s">
        <v>380</v>
      </c>
      <c r="D448" s="35">
        <v>750</v>
      </c>
      <c r="E448" s="35">
        <v>450</v>
      </c>
    </row>
    <row r="450" spans="1:3" x14ac:dyDescent="0.25">
      <c r="A450" s="4" t="s">
        <v>381</v>
      </c>
    </row>
    <row r="451" spans="1:3" x14ac:dyDescent="0.25">
      <c r="A451" s="11" t="s">
        <v>382</v>
      </c>
    </row>
    <row r="452" spans="1:3" x14ac:dyDescent="0.25">
      <c r="A452" s="6" t="s">
        <v>383</v>
      </c>
      <c r="B452" s="6">
        <f>ROUND(2*B55/B316,3)</f>
        <v>1366.184</v>
      </c>
    </row>
    <row r="453" spans="1:3" x14ac:dyDescent="0.25">
      <c r="A453" s="11" t="s">
        <v>384</v>
      </c>
    </row>
    <row r="454" spans="1:3" x14ac:dyDescent="0.25">
      <c r="A454" s="6" t="s">
        <v>385</v>
      </c>
      <c r="B454" s="6">
        <f>ROUND(B452*TAN(RADIANS(B332))/COS(B294),3)</f>
        <v>497.25</v>
      </c>
    </row>
    <row r="455" spans="1:3" x14ac:dyDescent="0.25">
      <c r="A455" s="11" t="s">
        <v>386</v>
      </c>
    </row>
    <row r="456" spans="1:3" x14ac:dyDescent="0.25">
      <c r="A456" t="s">
        <v>387</v>
      </c>
      <c r="B456" s="6">
        <v>0</v>
      </c>
    </row>
    <row r="458" spans="1:3" x14ac:dyDescent="0.25">
      <c r="A458" s="4" t="s">
        <v>388</v>
      </c>
    </row>
    <row r="459" spans="1:3" x14ac:dyDescent="0.25">
      <c r="A459" s="12" t="s">
        <v>389</v>
      </c>
      <c r="B459"/>
      <c r="C459" s="6">
        <v>15</v>
      </c>
    </row>
    <row r="460" spans="1:3" x14ac:dyDescent="0.25">
      <c r="A460" s="6" t="s">
        <v>390</v>
      </c>
      <c r="B460" s="6">
        <f>(B55/(0.2*C459))^(1/3)</f>
        <v>21.224361851997458</v>
      </c>
    </row>
    <row r="461" spans="1:3" x14ac:dyDescent="0.25">
      <c r="A461" t="s">
        <v>391</v>
      </c>
      <c r="B461" s="6">
        <v>25</v>
      </c>
    </row>
    <row r="462" spans="1:3" x14ac:dyDescent="0.25">
      <c r="A462" s="12" t="s">
        <v>394</v>
      </c>
    </row>
    <row r="463" spans="1:3" x14ac:dyDescent="0.25">
      <c r="A463" t="s">
        <v>392</v>
      </c>
      <c r="B463" s="6">
        <v>17</v>
      </c>
      <c r="C463" s="6" t="s">
        <v>393</v>
      </c>
    </row>
    <row r="464" spans="1:3" x14ac:dyDescent="0.25">
      <c r="A464" s="12" t="s">
        <v>405</v>
      </c>
    </row>
    <row r="465" spans="1:5" x14ac:dyDescent="0.25">
      <c r="A465" t="s">
        <v>406</v>
      </c>
      <c r="B465" s="6">
        <f>1.2*B461</f>
        <v>30</v>
      </c>
      <c r="C465" s="6">
        <f>1.5*B461</f>
        <v>37.5</v>
      </c>
      <c r="D465" s="6">
        <v>35</v>
      </c>
      <c r="E465" s="6" t="s">
        <v>86</v>
      </c>
    </row>
    <row r="466" spans="1:5" x14ac:dyDescent="0.25">
      <c r="A466" s="12" t="s">
        <v>395</v>
      </c>
    </row>
    <row r="467" spans="1:5" x14ac:dyDescent="0.25">
      <c r="A467" t="s">
        <v>407</v>
      </c>
      <c r="B467" s="6">
        <f>1.4*B461</f>
        <v>35</v>
      </c>
      <c r="C467" s="6">
        <f>2.5*B461</f>
        <v>62.5</v>
      </c>
      <c r="D467" s="6">
        <v>50</v>
      </c>
      <c r="E467" s="6" t="s">
        <v>86</v>
      </c>
    </row>
    <row r="468" spans="1:5" x14ac:dyDescent="0.25">
      <c r="A468" s="12" t="s">
        <v>396</v>
      </c>
    </row>
    <row r="469" spans="1:5" x14ac:dyDescent="0.25">
      <c r="A469" t="s">
        <v>397</v>
      </c>
      <c r="B469" s="6">
        <v>10</v>
      </c>
    </row>
    <row r="470" spans="1:5" x14ac:dyDescent="0.25">
      <c r="A470" s="12" t="s">
        <v>398</v>
      </c>
    </row>
    <row r="471" spans="1:5" x14ac:dyDescent="0.25">
      <c r="A471" t="s">
        <v>399</v>
      </c>
      <c r="B471" s="6">
        <v>10</v>
      </c>
    </row>
    <row r="472" spans="1:5" x14ac:dyDescent="0.25">
      <c r="A472" s="12" t="s">
        <v>400</v>
      </c>
    </row>
    <row r="473" spans="1:5" x14ac:dyDescent="0.25">
      <c r="A473" t="s">
        <v>401</v>
      </c>
      <c r="B473" s="6">
        <v>15</v>
      </c>
    </row>
    <row r="474" spans="1:5" x14ac:dyDescent="0.25">
      <c r="A474" s="12" t="s">
        <v>402</v>
      </c>
    </row>
    <row r="475" spans="1:5" x14ac:dyDescent="0.25">
      <c r="A475" t="s">
        <v>403</v>
      </c>
      <c r="B475" s="6">
        <v>15</v>
      </c>
    </row>
    <row r="476" spans="1:5" x14ac:dyDescent="0.25">
      <c r="A476" s="12" t="s">
        <v>404</v>
      </c>
    </row>
    <row r="477" spans="1:5" x14ac:dyDescent="0.25">
      <c r="A477" t="s">
        <v>408</v>
      </c>
      <c r="B477" s="6">
        <f>0.5*(B467+B463)+B473+B475</f>
        <v>56</v>
      </c>
    </row>
    <row r="478" spans="1:5" x14ac:dyDescent="0.25">
      <c r="A478" s="12" t="s">
        <v>414</v>
      </c>
    </row>
    <row r="479" spans="1:5" x14ac:dyDescent="0.25">
      <c r="A479" t="s">
        <v>415</v>
      </c>
      <c r="B479" s="6">
        <f>2*B481</f>
        <v>87</v>
      </c>
    </row>
    <row r="480" spans="1:5" x14ac:dyDescent="0.25">
      <c r="A480" s="12" t="s">
        <v>409</v>
      </c>
    </row>
    <row r="481" spans="1:4" x14ac:dyDescent="0.25">
      <c r="A481" t="s">
        <v>410</v>
      </c>
      <c r="B481" s="6">
        <f>0.5*(B465+B463)+B469+B471</f>
        <v>43.5</v>
      </c>
    </row>
    <row r="482" spans="1:4" x14ac:dyDescent="0.25">
      <c r="A482" s="12" t="s">
        <v>411</v>
      </c>
    </row>
    <row r="483" spans="1:4" x14ac:dyDescent="0.25">
      <c r="A483" t="s">
        <v>412</v>
      </c>
      <c r="B483" s="6">
        <f>B340</f>
        <v>41.699999999999996</v>
      </c>
    </row>
    <row r="485" spans="1:4" x14ac:dyDescent="0.25">
      <c r="A485" s="4" t="s">
        <v>413</v>
      </c>
    </row>
    <row r="486" spans="1:4" x14ac:dyDescent="0.25">
      <c r="A486" t="s">
        <v>416</v>
      </c>
      <c r="B486" s="6">
        <f>ROUND(2*B53/B436,3)</f>
        <v>650.61900000000003</v>
      </c>
    </row>
    <row r="487" spans="1:4" x14ac:dyDescent="0.25">
      <c r="A487" t="s">
        <v>497</v>
      </c>
      <c r="B487" s="6">
        <f>0.2*B486</f>
        <v>130.12380000000002</v>
      </c>
    </row>
    <row r="488" spans="1:4" x14ac:dyDescent="0.25">
      <c r="A488" t="s">
        <v>417</v>
      </c>
      <c r="B488" s="6">
        <v>483.37619999999998</v>
      </c>
    </row>
    <row r="489" spans="1:4" x14ac:dyDescent="0.25">
      <c r="A489" s="6" t="s">
        <v>418</v>
      </c>
      <c r="B489" s="6">
        <f>B454-B491</f>
        <v>243.47</v>
      </c>
    </row>
    <row r="490" spans="1:4" x14ac:dyDescent="0.25">
      <c r="A490" t="s">
        <v>419</v>
      </c>
      <c r="B490" s="6">
        <v>781.01499999999999</v>
      </c>
    </row>
    <row r="491" spans="1:4" x14ac:dyDescent="0.25">
      <c r="A491" t="s">
        <v>420</v>
      </c>
      <c r="B491" s="6">
        <f>253.78</f>
        <v>253.78</v>
      </c>
    </row>
    <row r="492" spans="1:4" x14ac:dyDescent="0.25">
      <c r="A492" s="12" t="s">
        <v>422</v>
      </c>
    </row>
    <row r="493" spans="1:4" x14ac:dyDescent="0.25">
      <c r="A493" t="s">
        <v>421</v>
      </c>
      <c r="B493" s="6">
        <f>B490*B481</f>
        <v>33974.152499999997</v>
      </c>
      <c r="C493" s="6">
        <f>B487*(B477+B481)+B488*B481</f>
        <v>33974.182800000002</v>
      </c>
      <c r="D493" s="43" t="s">
        <v>431</v>
      </c>
    </row>
    <row r="494" spans="1:4" x14ac:dyDescent="0.25">
      <c r="A494" t="s">
        <v>423</v>
      </c>
      <c r="B494" s="6">
        <f>B491*B481</f>
        <v>11039.43</v>
      </c>
      <c r="D494" s="43"/>
    </row>
    <row r="496" spans="1:4" x14ac:dyDescent="0.25">
      <c r="A496" s="4" t="s">
        <v>424</v>
      </c>
    </row>
    <row r="497" spans="1:3" x14ac:dyDescent="0.25">
      <c r="A497" s="12" t="s">
        <v>425</v>
      </c>
    </row>
    <row r="498" spans="1:3" x14ac:dyDescent="0.25">
      <c r="A498" t="s">
        <v>426</v>
      </c>
      <c r="B498" s="6">
        <f>SQRT(0+0+0.75*B55^2)</f>
        <v>24840.241297765206</v>
      </c>
    </row>
    <row r="499" spans="1:3" x14ac:dyDescent="0.25">
      <c r="A499" s="12" t="s">
        <v>427</v>
      </c>
    </row>
    <row r="500" spans="1:3" x14ac:dyDescent="0.25">
      <c r="A500" s="6" t="s">
        <v>428</v>
      </c>
      <c r="B500" s="6">
        <f>SQRT(0+(B487*B477)^2+0.75*B55^2)</f>
        <v>25887.004024469807</v>
      </c>
    </row>
    <row r="501" spans="1:3" x14ac:dyDescent="0.25">
      <c r="A501" s="11" t="s">
        <v>429</v>
      </c>
    </row>
    <row r="502" spans="1:3" x14ac:dyDescent="0.25">
      <c r="A502" t="s">
        <v>430</v>
      </c>
      <c r="B502" s="6">
        <f>SQRT(B493^2+B494^2+0.75*B55^2)</f>
        <v>43510.339467181315</v>
      </c>
    </row>
    <row r="503" spans="1:3" x14ac:dyDescent="0.25">
      <c r="A503" s="36" t="s">
        <v>432</v>
      </c>
    </row>
    <row r="504" spans="1:3" x14ac:dyDescent="0.25">
      <c r="A504"/>
      <c r="B504" s="6">
        <f>63</f>
        <v>63</v>
      </c>
    </row>
    <row r="505" spans="1:3" x14ac:dyDescent="0.25">
      <c r="A505" s="11" t="s">
        <v>433</v>
      </c>
    </row>
    <row r="506" spans="1:3" x14ac:dyDescent="0.25">
      <c r="A506" s="6" t="s">
        <v>286</v>
      </c>
      <c r="B506" s="6">
        <f>(B498/(0.1*B504))^(1/3)</f>
        <v>15.798108308598721</v>
      </c>
      <c r="C506" s="6">
        <v>20</v>
      </c>
    </row>
    <row r="507" spans="1:3" x14ac:dyDescent="0.25">
      <c r="A507" s="12" t="s">
        <v>434</v>
      </c>
    </row>
    <row r="508" spans="1:3" x14ac:dyDescent="0.25">
      <c r="A508" s="6" t="s">
        <v>287</v>
      </c>
      <c r="B508" s="6">
        <f t="shared" ref="B508:B510" si="0">(B500/(0.1*B506))^(1/3)</f>
        <v>25.39952343272725</v>
      </c>
      <c r="C508" s="6">
        <v>30</v>
      </c>
    </row>
    <row r="509" spans="1:3" x14ac:dyDescent="0.25">
      <c r="A509" s="12" t="s">
        <v>435</v>
      </c>
    </row>
    <row r="510" spans="1:3" x14ac:dyDescent="0.25">
      <c r="A510" t="s">
        <v>436</v>
      </c>
      <c r="B510" s="6">
        <f t="shared" si="0"/>
        <v>25.778380781876219</v>
      </c>
      <c r="C510" s="6">
        <v>35</v>
      </c>
    </row>
    <row r="512" spans="1:3" x14ac:dyDescent="0.25">
      <c r="A512" s="4" t="s">
        <v>437</v>
      </c>
    </row>
    <row r="514" spans="1:5" x14ac:dyDescent="0.25">
      <c r="A514" s="4" t="s">
        <v>438</v>
      </c>
    </row>
    <row r="515" spans="1:5" x14ac:dyDescent="0.25">
      <c r="A515" s="12" t="s">
        <v>389</v>
      </c>
    </row>
    <row r="516" spans="1:5" x14ac:dyDescent="0.25">
      <c r="A516" s="37" t="s">
        <v>390</v>
      </c>
      <c r="B516" s="6">
        <v>20</v>
      </c>
    </row>
    <row r="517" spans="1:5" x14ac:dyDescent="0.25">
      <c r="A517" s="11" t="s">
        <v>439</v>
      </c>
    </row>
    <row r="518" spans="1:5" x14ac:dyDescent="0.25">
      <c r="A518" s="6" t="s">
        <v>440</v>
      </c>
      <c r="B518" s="6">
        <v>6</v>
      </c>
    </row>
    <row r="519" spans="1:5" x14ac:dyDescent="0.25">
      <c r="A519" s="11" t="s">
        <v>441</v>
      </c>
    </row>
    <row r="520" spans="1:5" x14ac:dyDescent="0.25">
      <c r="A520" t="s">
        <v>442</v>
      </c>
      <c r="B520" s="6">
        <v>6</v>
      </c>
    </row>
    <row r="521" spans="1:5" x14ac:dyDescent="0.25">
      <c r="A521" s="11" t="s">
        <v>445</v>
      </c>
    </row>
    <row r="522" spans="1:5" x14ac:dyDescent="0.25">
      <c r="A522" t="s">
        <v>443</v>
      </c>
      <c r="B522" s="6">
        <v>3.5</v>
      </c>
    </row>
    <row r="523" spans="1:5" x14ac:dyDescent="0.25">
      <c r="A523" s="12" t="s">
        <v>444</v>
      </c>
    </row>
    <row r="524" spans="1:5" x14ac:dyDescent="0.25">
      <c r="A524" t="s">
        <v>446</v>
      </c>
      <c r="B524" s="6">
        <v>2.8</v>
      </c>
    </row>
    <row r="525" spans="1:5" x14ac:dyDescent="0.25">
      <c r="A525" s="12" t="s">
        <v>447</v>
      </c>
    </row>
    <row r="526" spans="1:5" x14ac:dyDescent="0.25">
      <c r="A526" t="s">
        <v>448</v>
      </c>
      <c r="B526" s="6">
        <f>0.8*B467</f>
        <v>28</v>
      </c>
      <c r="C526" s="6">
        <f>0.9*B467</f>
        <v>31.5</v>
      </c>
      <c r="D526" s="6">
        <v>30</v>
      </c>
      <c r="E526" s="6" t="s">
        <v>86</v>
      </c>
    </row>
    <row r="528" spans="1:5" x14ac:dyDescent="0.25">
      <c r="A528"/>
      <c r="B528" s="6">
        <f>2*B55/(B516*D526*(B520-B522))</f>
        <v>38.244053333333333</v>
      </c>
      <c r="C528" s="6" t="s">
        <v>449</v>
      </c>
    </row>
    <row r="529" spans="1:5" x14ac:dyDescent="0.25">
      <c r="A529"/>
      <c r="B529" s="6">
        <f>2*B55/(B516*B518*D526)</f>
        <v>15.935022222222223</v>
      </c>
      <c r="C529" s="6" t="s">
        <v>450</v>
      </c>
    </row>
    <row r="530" spans="1:5" x14ac:dyDescent="0.25">
      <c r="A530" s="4" t="s">
        <v>451</v>
      </c>
    </row>
    <row r="531" spans="1:5" x14ac:dyDescent="0.25">
      <c r="A531" s="11" t="s">
        <v>452</v>
      </c>
    </row>
    <row r="532" spans="1:5" x14ac:dyDescent="0.25">
      <c r="A532" s="6" t="s">
        <v>390</v>
      </c>
      <c r="B532" s="6">
        <v>35</v>
      </c>
    </row>
    <row r="533" spans="1:5" x14ac:dyDescent="0.25">
      <c r="A533" s="12" t="s">
        <v>439</v>
      </c>
    </row>
    <row r="534" spans="1:5" x14ac:dyDescent="0.25">
      <c r="A534" s="6" t="s">
        <v>440</v>
      </c>
      <c r="B534" s="6">
        <v>10</v>
      </c>
    </row>
    <row r="535" spans="1:5" x14ac:dyDescent="0.25">
      <c r="A535" s="11" t="s">
        <v>441</v>
      </c>
    </row>
    <row r="536" spans="1:5" x14ac:dyDescent="0.25">
      <c r="A536" t="s">
        <v>442</v>
      </c>
      <c r="B536" s="6">
        <v>8</v>
      </c>
    </row>
    <row r="537" spans="1:5" x14ac:dyDescent="0.25">
      <c r="A537" s="12" t="s">
        <v>445</v>
      </c>
    </row>
    <row r="538" spans="1:5" x14ac:dyDescent="0.25">
      <c r="A538" t="s">
        <v>443</v>
      </c>
      <c r="B538" s="6">
        <v>5</v>
      </c>
    </row>
    <row r="539" spans="1:5" x14ac:dyDescent="0.25">
      <c r="A539" s="12" t="s">
        <v>444</v>
      </c>
    </row>
    <row r="540" spans="1:5" x14ac:dyDescent="0.25">
      <c r="A540" t="s">
        <v>446</v>
      </c>
      <c r="B540" s="6">
        <v>3.3</v>
      </c>
    </row>
    <row r="541" spans="1:5" x14ac:dyDescent="0.25">
      <c r="A541" s="12" t="s">
        <v>447</v>
      </c>
    </row>
    <row r="542" spans="1:5" x14ac:dyDescent="0.25">
      <c r="A542" t="s">
        <v>448</v>
      </c>
      <c r="B542" s="6">
        <f>0.8*B465</f>
        <v>24</v>
      </c>
      <c r="C542" s="6">
        <f>0.9*B465</f>
        <v>27</v>
      </c>
      <c r="D542" s="6">
        <v>25</v>
      </c>
      <c r="E542" s="6" t="s">
        <v>86</v>
      </c>
    </row>
    <row r="544" spans="1:5" x14ac:dyDescent="0.25">
      <c r="A544"/>
      <c r="B544" s="6">
        <f>2*B55/(B532*D542*(B536-B538))</f>
        <v>21.853744761904764</v>
      </c>
      <c r="C544" s="6" t="s">
        <v>374</v>
      </c>
    </row>
    <row r="545" spans="1:3" x14ac:dyDescent="0.25">
      <c r="A545"/>
      <c r="B545" s="6">
        <f>2*B55/(B532*B534*D542)</f>
        <v>6.5561234285714285</v>
      </c>
      <c r="C545" s="6" t="s">
        <v>374</v>
      </c>
    </row>
    <row r="547" spans="1:3" x14ac:dyDescent="0.25">
      <c r="A547" s="4" t="s">
        <v>453</v>
      </c>
    </row>
    <row r="551" spans="1:3" x14ac:dyDescent="0.25">
      <c r="A551" s="11" t="s">
        <v>455</v>
      </c>
    </row>
    <row r="552" spans="1:3" ht="16.8" x14ac:dyDescent="0.3">
      <c r="A552" s="38" t="s">
        <v>456</v>
      </c>
      <c r="B552" s="6">
        <f>0.436*D448</f>
        <v>327</v>
      </c>
    </row>
    <row r="553" spans="1:3" x14ac:dyDescent="0.25">
      <c r="A553" s="11" t="s">
        <v>454</v>
      </c>
    </row>
    <row r="554" spans="1:3" ht="16.8" x14ac:dyDescent="0.3">
      <c r="A554" s="38" t="s">
        <v>117</v>
      </c>
      <c r="B554" s="6">
        <f>0.58*B552</f>
        <v>189.66</v>
      </c>
    </row>
    <row r="555" spans="1:3" x14ac:dyDescent="0.25">
      <c r="A555" s="11" t="s">
        <v>457</v>
      </c>
    </row>
    <row r="556" spans="1:3" ht="16.8" x14ac:dyDescent="0.3">
      <c r="A556" s="38" t="s">
        <v>117</v>
      </c>
    </row>
    <row r="558" spans="1:3" x14ac:dyDescent="0.25">
      <c r="A558" s="11" t="s">
        <v>458</v>
      </c>
    </row>
    <row r="559" spans="1:3" x14ac:dyDescent="0.25">
      <c r="A559" s="6">
        <v>1</v>
      </c>
    </row>
    <row r="561" spans="1:3" x14ac:dyDescent="0.25">
      <c r="A561" s="11" t="s">
        <v>459</v>
      </c>
    </row>
    <row r="564" spans="1:3" x14ac:dyDescent="0.25">
      <c r="A564" s="12" t="s">
        <v>460</v>
      </c>
    </row>
    <row r="565" spans="1:3" ht="16.8" x14ac:dyDescent="0.3">
      <c r="A565" s="38" t="s">
        <v>117</v>
      </c>
      <c r="B565" s="6">
        <v>0.1</v>
      </c>
    </row>
    <row r="566" spans="1:3" x14ac:dyDescent="0.25">
      <c r="A566"/>
      <c r="B566" s="6">
        <v>0.05</v>
      </c>
    </row>
    <row r="567" spans="1:3" x14ac:dyDescent="0.25">
      <c r="A567" s="12" t="s">
        <v>461</v>
      </c>
    </row>
    <row r="568" spans="1:3" x14ac:dyDescent="0.25">
      <c r="A568" t="s">
        <v>462</v>
      </c>
      <c r="B568" s="6">
        <f>1.1</f>
        <v>1.1000000000000001</v>
      </c>
    </row>
    <row r="569" spans="1:3" x14ac:dyDescent="0.25">
      <c r="A569" s="12" t="s">
        <v>463</v>
      </c>
    </row>
    <row r="570" spans="1:3" x14ac:dyDescent="0.25">
      <c r="A570" t="s">
        <v>464</v>
      </c>
      <c r="B570" s="6">
        <v>1</v>
      </c>
      <c r="C570" s="6" t="s">
        <v>491</v>
      </c>
    </row>
    <row r="571" spans="1:3" x14ac:dyDescent="0.25">
      <c r="A571" s="42" t="s">
        <v>487</v>
      </c>
    </row>
    <row r="572" spans="1:3" x14ac:dyDescent="0.25">
      <c r="A572" s="12" t="s">
        <v>465</v>
      </c>
      <c r="B572" s="6" t="s">
        <v>492</v>
      </c>
    </row>
    <row r="573" spans="1:3" ht="16.8" x14ac:dyDescent="0.3">
      <c r="A573" s="38" t="s">
        <v>117</v>
      </c>
      <c r="B573" s="6">
        <v>0.86499999999999999</v>
      </c>
      <c r="C573" s="43" t="s">
        <v>496</v>
      </c>
    </row>
    <row r="574" spans="1:3" ht="16.8" x14ac:dyDescent="0.3">
      <c r="A574" s="38" t="s">
        <v>117</v>
      </c>
      <c r="B574" s="6">
        <v>0.79500000000000004</v>
      </c>
      <c r="C574" s="43"/>
    </row>
    <row r="575" spans="1:3" x14ac:dyDescent="0.25">
      <c r="A575" s="12" t="s">
        <v>504</v>
      </c>
      <c r="B575" s="6" t="s">
        <v>494</v>
      </c>
    </row>
    <row r="576" spans="1:3" x14ac:dyDescent="0.25">
      <c r="A576"/>
      <c r="B576">
        <v>3.125</v>
      </c>
      <c r="C576" s="43" t="s">
        <v>496</v>
      </c>
    </row>
    <row r="577" spans="1:3" x14ac:dyDescent="0.25">
      <c r="A577"/>
      <c r="B577">
        <v>2.2749999999999999</v>
      </c>
      <c r="C577" s="43"/>
    </row>
    <row r="578" spans="1:3" x14ac:dyDescent="0.25">
      <c r="A578" s="11" t="s">
        <v>466</v>
      </c>
    </row>
    <row r="579" spans="1:3" ht="16.8" x14ac:dyDescent="0.3">
      <c r="A579" s="38" t="s">
        <v>117</v>
      </c>
      <c r="B579" s="6">
        <f>ROUND((B576+B568-1)/B570,3)</f>
        <v>3.2250000000000001</v>
      </c>
    </row>
    <row r="580" spans="1:3" x14ac:dyDescent="0.25">
      <c r="A580"/>
      <c r="B580" s="6">
        <f>ROUND((B577+B568-1)/B570,3)</f>
        <v>2.375</v>
      </c>
    </row>
    <row r="581" spans="1:3" x14ac:dyDescent="0.25">
      <c r="A581" s="11" t="s">
        <v>467</v>
      </c>
    </row>
    <row r="582" spans="1:3" x14ac:dyDescent="0.25">
      <c r="A582" s="11" t="s">
        <v>468</v>
      </c>
    </row>
    <row r="583" spans="1:3" x14ac:dyDescent="0.25">
      <c r="A583"/>
      <c r="B583" s="6">
        <f>ROUND(PI()*C510^3/32 - B534*B538*(C510-B538)^2/(2*C510),3)</f>
        <v>3566.386</v>
      </c>
    </row>
    <row r="584" spans="1:3" x14ac:dyDescent="0.25">
      <c r="A584" s="12" t="s">
        <v>469</v>
      </c>
    </row>
    <row r="585" spans="1:3" x14ac:dyDescent="0.25">
      <c r="A585"/>
      <c r="B585" s="6">
        <f>ROUND(PI()*C510^3/16 - B534*B538*(C510-B538)^2/(2*C510),3)</f>
        <v>7775.6289999999999</v>
      </c>
    </row>
    <row r="587" spans="1:3" x14ac:dyDescent="0.25">
      <c r="A587"/>
      <c r="B587" s="6">
        <v>0</v>
      </c>
    </row>
    <row r="588" spans="1:3" x14ac:dyDescent="0.25">
      <c r="A588"/>
      <c r="B588" s="6">
        <f>ROUND(SQRT(B493^2+B494^2)/B583,3)</f>
        <v>10.016999999999999</v>
      </c>
    </row>
    <row r="590" spans="1:3" x14ac:dyDescent="0.25">
      <c r="A590"/>
      <c r="B590" s="6">
        <f>ROUND(B55/(2*B585),3)</f>
        <v>1.8440000000000001</v>
      </c>
    </row>
    <row r="593" spans="1:3" x14ac:dyDescent="0.25">
      <c r="A593"/>
      <c r="B593" s="6">
        <f>ROUND(B552/(B579*B588+B565*B587),3)</f>
        <v>10.122</v>
      </c>
    </row>
    <row r="594" spans="1:3" x14ac:dyDescent="0.25">
      <c r="A594"/>
      <c r="B594" s="6">
        <f>ROUND(B554/(B580*B590+B566*B590),3)</f>
        <v>42.412999999999997</v>
      </c>
    </row>
    <row r="596" spans="1:3" x14ac:dyDescent="0.25">
      <c r="A596"/>
      <c r="B596" s="6">
        <f>B593*B594/SQRT(B593^2+B594^2)</f>
        <v>9.8455052497783537</v>
      </c>
      <c r="C596" s="6" t="s">
        <v>470</v>
      </c>
    </row>
    <row r="597" spans="1:3" x14ac:dyDescent="0.25">
      <c r="A597" s="4" t="s">
        <v>488</v>
      </c>
    </row>
    <row r="598" spans="1:3" x14ac:dyDescent="0.25">
      <c r="A598" s="37" t="s">
        <v>498</v>
      </c>
      <c r="B598" s="6">
        <f>0</f>
        <v>0</v>
      </c>
    </row>
    <row r="599" spans="1:3" x14ac:dyDescent="0.25">
      <c r="A599" s="37" t="s">
        <v>489</v>
      </c>
      <c r="B599" s="6">
        <f>ROUND(PI()*C506^3/32-B518*B522*(C506-B522)^2/(2*B516),3)</f>
        <v>642.46699999999998</v>
      </c>
    </row>
    <row r="600" spans="1:3" x14ac:dyDescent="0.25">
      <c r="A600" s="37" t="s">
        <v>490</v>
      </c>
      <c r="B600" s="6">
        <f>ROUND(PI()*C506^3/16-B518*B522*(C506-B522)^2/(2*B516),3)</f>
        <v>1427.865</v>
      </c>
    </row>
    <row r="601" spans="1:3" x14ac:dyDescent="0.25">
      <c r="A601"/>
      <c r="B601" s="6">
        <f>0</f>
        <v>0</v>
      </c>
    </row>
    <row r="602" spans="1:3" x14ac:dyDescent="0.25">
      <c r="A602"/>
      <c r="B602" s="6">
        <f>ROUND(B598/B599,3)</f>
        <v>0</v>
      </c>
    </row>
    <row r="603" spans="1:3" x14ac:dyDescent="0.25">
      <c r="A603"/>
      <c r="B603" s="6">
        <f>ROUND(B55/(2*B600),3)</f>
        <v>10.044</v>
      </c>
    </row>
    <row r="604" spans="1:3" x14ac:dyDescent="0.25">
      <c r="A604" s="4"/>
    </row>
    <row r="605" spans="1:3" x14ac:dyDescent="0.25">
      <c r="A605" s="4"/>
    </row>
    <row r="606" spans="1:3" x14ac:dyDescent="0.25">
      <c r="A606" s="4"/>
    </row>
    <row r="607" spans="1:3" x14ac:dyDescent="0.25">
      <c r="A607" s="12" t="s">
        <v>465</v>
      </c>
    </row>
    <row r="608" spans="1:3" ht="16.8" x14ac:dyDescent="0.3">
      <c r="A608" s="38" t="s">
        <v>117</v>
      </c>
      <c r="B608" s="6">
        <v>0.92</v>
      </c>
    </row>
    <row r="609" spans="1:3" ht="16.8" x14ac:dyDescent="0.3">
      <c r="A609" s="38" t="s">
        <v>117</v>
      </c>
      <c r="B609" s="6">
        <v>0.89</v>
      </c>
    </row>
    <row r="610" spans="1:3" x14ac:dyDescent="0.25">
      <c r="A610" s="12" t="s">
        <v>495</v>
      </c>
      <c r="B610" s="6" t="s">
        <v>493</v>
      </c>
    </row>
    <row r="611" spans="1:3" x14ac:dyDescent="0.25">
      <c r="A611"/>
      <c r="B611" s="6">
        <v>1.9475</v>
      </c>
      <c r="C611" s="43" t="s">
        <v>496</v>
      </c>
    </row>
    <row r="612" spans="1:3" x14ac:dyDescent="0.25">
      <c r="A612"/>
      <c r="B612" s="46">
        <v>1.7949999999999999</v>
      </c>
      <c r="C612" s="43"/>
    </row>
    <row r="613" spans="1:3" x14ac:dyDescent="0.25">
      <c r="A613" s="4"/>
    </row>
    <row r="614" spans="1:3" x14ac:dyDescent="0.25">
      <c r="A614" s="11" t="s">
        <v>466</v>
      </c>
    </row>
    <row r="615" spans="1:3" ht="16.8" x14ac:dyDescent="0.3">
      <c r="A615" s="38" t="s">
        <v>117</v>
      </c>
      <c r="B615" s="6">
        <f>ROUND((B611/B608+B568-1)/B570,3)</f>
        <v>2.2170000000000001</v>
      </c>
    </row>
    <row r="616" spans="1:3" x14ac:dyDescent="0.25">
      <c r="A616"/>
      <c r="B616" s="6">
        <f>ROUND((B612/B609+B568-1)/B570,3)</f>
        <v>2.117</v>
      </c>
    </row>
    <row r="617" spans="1:3" x14ac:dyDescent="0.25">
      <c r="A617" s="4"/>
    </row>
    <row r="618" spans="1:3" x14ac:dyDescent="0.25">
      <c r="A618" s="4"/>
    </row>
    <row r="619" spans="1:3" x14ac:dyDescent="0.25">
      <c r="A619"/>
      <c r="B619" s="6" t="e">
        <f>ROUND(B552/(B615*B602+B565*B601),3)</f>
        <v>#DIV/0!</v>
      </c>
      <c r="C619" s="6" t="s">
        <v>499</v>
      </c>
    </row>
    <row r="620" spans="1:3" x14ac:dyDescent="0.25">
      <c r="A620"/>
      <c r="B620" s="6">
        <f>ROUND(B554/(B616*B603+B566*B603),3)</f>
        <v>8.7140000000000004</v>
      </c>
    </row>
    <row r="621" spans="1:3" x14ac:dyDescent="0.25">
      <c r="A621" s="4"/>
    </row>
    <row r="622" spans="1:3" x14ac:dyDescent="0.25">
      <c r="A622"/>
      <c r="B622" s="6">
        <f>B620</f>
        <v>8.7140000000000004</v>
      </c>
      <c r="C622" s="6" t="s">
        <v>374</v>
      </c>
    </row>
    <row r="623" spans="1:3" x14ac:dyDescent="0.25">
      <c r="A623" s="4"/>
    </row>
    <row r="624" spans="1:3" x14ac:dyDescent="0.25">
      <c r="A624" s="4" t="s">
        <v>500</v>
      </c>
    </row>
    <row r="625" spans="1:2" x14ac:dyDescent="0.25">
      <c r="A625" s="4"/>
    </row>
    <row r="626" spans="1:2" x14ac:dyDescent="0.25">
      <c r="A626" s="37" t="s">
        <v>498</v>
      </c>
      <c r="B626" s="6">
        <f>SQRT(7286.9328^2+0^2)</f>
        <v>7286.9327999999996</v>
      </c>
    </row>
    <row r="627" spans="1:2" x14ac:dyDescent="0.25">
      <c r="A627" s="37" t="s">
        <v>501</v>
      </c>
      <c r="B627" s="6">
        <f>ROUND(PI()*C508^3/32,3)</f>
        <v>2650.7190000000001</v>
      </c>
    </row>
    <row r="628" spans="1:2" x14ac:dyDescent="0.25">
      <c r="A628" s="37" t="s">
        <v>502</v>
      </c>
      <c r="B628" s="6">
        <f>ROUND(PI()*C508^3/16,3)</f>
        <v>5301.4380000000001</v>
      </c>
    </row>
    <row r="629" spans="1:2" x14ac:dyDescent="0.25">
      <c r="A629"/>
      <c r="B629" s="6">
        <f>0</f>
        <v>0</v>
      </c>
    </row>
    <row r="630" spans="1:2" x14ac:dyDescent="0.25">
      <c r="A630"/>
      <c r="B630" s="6">
        <f>ROUND(B626/B627,3)</f>
        <v>2.7490000000000001</v>
      </c>
    </row>
    <row r="631" spans="1:2" x14ac:dyDescent="0.25">
      <c r="A631"/>
      <c r="B631" s="6">
        <f>ROUND(B55/(2*B628),3)</f>
        <v>2.7050000000000001</v>
      </c>
    </row>
    <row r="632" spans="1:2" x14ac:dyDescent="0.25">
      <c r="A632" s="4"/>
    </row>
    <row r="633" spans="1:2" x14ac:dyDescent="0.25">
      <c r="A633" s="37" t="s">
        <v>503</v>
      </c>
    </row>
    <row r="634" spans="1:2" x14ac:dyDescent="0.25">
      <c r="A634" s="4"/>
    </row>
    <row r="635" spans="1:2" x14ac:dyDescent="0.25">
      <c r="A635" s="12" t="s">
        <v>465</v>
      </c>
    </row>
    <row r="636" spans="1:2" ht="16.8" x14ac:dyDescent="0.3">
      <c r="A636" s="38" t="s">
        <v>117</v>
      </c>
      <c r="B636" s="6">
        <v>0.88</v>
      </c>
    </row>
    <row r="637" spans="1:2" ht="16.8" x14ac:dyDescent="0.3">
      <c r="A637" s="38" t="s">
        <v>117</v>
      </c>
      <c r="B637" s="6">
        <v>0.81</v>
      </c>
    </row>
    <row r="638" spans="1:2" x14ac:dyDescent="0.25">
      <c r="A638" s="12" t="s">
        <v>504</v>
      </c>
    </row>
    <row r="639" spans="1:2" x14ac:dyDescent="0.25">
      <c r="A639"/>
      <c r="B639">
        <v>3.125</v>
      </c>
    </row>
    <row r="640" spans="1:2" x14ac:dyDescent="0.25">
      <c r="A640"/>
      <c r="B640">
        <v>2.2749999999999999</v>
      </c>
    </row>
    <row r="641" spans="1:3" x14ac:dyDescent="0.25">
      <c r="A641" s="4"/>
    </row>
    <row r="642" spans="1:3" x14ac:dyDescent="0.25">
      <c r="A642" s="11" t="s">
        <v>466</v>
      </c>
    </row>
    <row r="643" spans="1:3" ht="16.8" x14ac:dyDescent="0.3">
      <c r="A643" s="38" t="s">
        <v>117</v>
      </c>
      <c r="B643" s="6">
        <f>(B639+B568-1)/B570</f>
        <v>3.2249999999999996</v>
      </c>
    </row>
    <row r="644" spans="1:3" x14ac:dyDescent="0.25">
      <c r="A644"/>
      <c r="B644" s="6">
        <f>(B640+B568-1)/B570</f>
        <v>2.375</v>
      </c>
    </row>
    <row r="645" spans="1:3" x14ac:dyDescent="0.25">
      <c r="A645" s="4"/>
    </row>
    <row r="646" spans="1:3" x14ac:dyDescent="0.25">
      <c r="A646" s="4"/>
      <c r="B646" s="6">
        <f>ROUND(B552/(B643*B630+B565*B629),3)</f>
        <v>36.884</v>
      </c>
    </row>
    <row r="647" spans="1:3" x14ac:dyDescent="0.25">
      <c r="A647"/>
      <c r="B647" s="6">
        <f>ROUND(B554/(B566*B631+B644*B631),3)</f>
        <v>28.913</v>
      </c>
    </row>
    <row r="648" spans="1:3" x14ac:dyDescent="0.25">
      <c r="A648"/>
    </row>
    <row r="649" spans="1:3" x14ac:dyDescent="0.25">
      <c r="A649" s="4"/>
    </row>
    <row r="650" spans="1:3" x14ac:dyDescent="0.25">
      <c r="A650"/>
      <c r="B650" s="47">
        <f>B646*B647/SQRT(B646^2+B647^2)</f>
        <v>22.754973776977636</v>
      </c>
      <c r="C650" s="6" t="s">
        <v>374</v>
      </c>
    </row>
    <row r="651" spans="1:3" x14ac:dyDescent="0.25">
      <c r="A651" s="4"/>
    </row>
    <row r="652" spans="1:3" x14ac:dyDescent="0.25">
      <c r="A652" s="4"/>
    </row>
    <row r="653" spans="1:3" x14ac:dyDescent="0.25">
      <c r="A653" s="4"/>
    </row>
    <row r="654" spans="1:3" x14ac:dyDescent="0.25">
      <c r="A654" s="4"/>
    </row>
    <row r="656" spans="1:3" x14ac:dyDescent="0.25">
      <c r="A656" s="4" t="s">
        <v>471</v>
      </c>
    </row>
    <row r="657" spans="1:3" x14ac:dyDescent="0.25">
      <c r="A657"/>
    </row>
    <row r="660" spans="1:3" x14ac:dyDescent="0.25">
      <c r="A660"/>
      <c r="B660" s="6">
        <f>ROUND(SQRT(B493^2+B494^2)/(0.1*C510^3),3)</f>
        <v>8.3320000000000007</v>
      </c>
    </row>
    <row r="661" spans="1:3" x14ac:dyDescent="0.25">
      <c r="A661"/>
      <c r="B661" s="6">
        <f>ROUND(B55/(0.2*C510^3),3)</f>
        <v>3.3450000000000002</v>
      </c>
    </row>
    <row r="662" spans="1:3" x14ac:dyDescent="0.25">
      <c r="A662"/>
      <c r="B662" s="6">
        <f>0.8*E448</f>
        <v>360</v>
      </c>
    </row>
    <row r="663" spans="1:3" x14ac:dyDescent="0.25">
      <c r="A663"/>
      <c r="B663" s="6">
        <f>ROUND(SQRT(B660^2+3*B661^2),3)</f>
        <v>10.148</v>
      </c>
      <c r="C663" s="6" t="s">
        <v>374</v>
      </c>
    </row>
    <row r="665" spans="1:3" x14ac:dyDescent="0.25">
      <c r="A665" s="4" t="s">
        <v>472</v>
      </c>
    </row>
    <row r="666" spans="1:3" x14ac:dyDescent="0.25">
      <c r="A666" s="4" t="s">
        <v>473</v>
      </c>
    </row>
    <row r="667" spans="1:3" x14ac:dyDescent="0.25">
      <c r="A667" s="11" t="s">
        <v>474</v>
      </c>
    </row>
    <row r="668" spans="1:3" x14ac:dyDescent="0.25">
      <c r="A668" s="6" t="s">
        <v>475</v>
      </c>
      <c r="B668" s="6">
        <f>ROUND(SQRT(B488^2+B489^2),3)</f>
        <v>541.23</v>
      </c>
    </row>
    <row r="669" spans="1:3" x14ac:dyDescent="0.25">
      <c r="A669" s="6" t="s">
        <v>476</v>
      </c>
      <c r="B669" s="6">
        <f>ROUND(SQRT(B490^2+B491^2),3)</f>
        <v>821.21199999999999</v>
      </c>
    </row>
    <row r="670" spans="1:3" x14ac:dyDescent="0.25">
      <c r="A670" s="6" t="s">
        <v>516</v>
      </c>
      <c r="B670" s="6">
        <v>0</v>
      </c>
    </row>
    <row r="671" spans="1:3" x14ac:dyDescent="0.25">
      <c r="A671" s="39" t="s">
        <v>477</v>
      </c>
    </row>
    <row r="672" spans="1:3" x14ac:dyDescent="0.25">
      <c r="A672" t="s">
        <v>478</v>
      </c>
      <c r="B672" s="6">
        <f>C508</f>
        <v>30</v>
      </c>
    </row>
    <row r="673" spans="1:8" ht="14.4" thickBot="1" x14ac:dyDescent="0.3"/>
    <row r="674" spans="1:8" ht="14.4" thickBot="1" x14ac:dyDescent="0.3">
      <c r="A674" s="40" t="s">
        <v>479</v>
      </c>
      <c r="B674" s="41" t="s">
        <v>481</v>
      </c>
      <c r="C674" s="41" t="s">
        <v>482</v>
      </c>
      <c r="D674" s="41" t="s">
        <v>124</v>
      </c>
      <c r="E674" s="41" t="s">
        <v>483</v>
      </c>
      <c r="F674" s="41" t="s">
        <v>480</v>
      </c>
      <c r="G674" s="41" t="s">
        <v>484</v>
      </c>
      <c r="H674" s="41" t="s">
        <v>485</v>
      </c>
    </row>
    <row r="675" spans="1:8" ht="14.4" thickBot="1" x14ac:dyDescent="0.3">
      <c r="A675" s="34">
        <v>307</v>
      </c>
      <c r="B675" s="35">
        <v>25</v>
      </c>
      <c r="C675" s="35">
        <v>80</v>
      </c>
      <c r="D675" s="35">
        <v>21</v>
      </c>
      <c r="E675" s="35">
        <v>2.5</v>
      </c>
      <c r="F675" s="35">
        <v>14.29</v>
      </c>
      <c r="G675" s="35">
        <v>26.2</v>
      </c>
      <c r="H675" s="35">
        <v>17.899999999999999</v>
      </c>
    </row>
    <row r="678" spans="1:8" x14ac:dyDescent="0.25">
      <c r="A678" s="4" t="s">
        <v>486</v>
      </c>
    </row>
    <row r="680" spans="1:8" x14ac:dyDescent="0.25">
      <c r="A680" s="6" t="s">
        <v>266</v>
      </c>
      <c r="B680" s="6">
        <v>3</v>
      </c>
      <c r="C680" s="6" t="s">
        <v>526</v>
      </c>
    </row>
    <row r="681" spans="1:8" x14ac:dyDescent="0.25">
      <c r="A681" s="12" t="s">
        <v>505</v>
      </c>
    </row>
    <row r="683" spans="1:8" x14ac:dyDescent="0.25">
      <c r="A683" s="6" t="s">
        <v>517</v>
      </c>
      <c r="B683" s="6">
        <f>(B686*B690*B668+B688*B670)*B692*B694</f>
        <v>757.72199999999998</v>
      </c>
    </row>
    <row r="684" spans="1:8" x14ac:dyDescent="0.25">
      <c r="A684" s="6" t="s">
        <v>518</v>
      </c>
      <c r="B684" s="6">
        <f>(B686*B690*B669+B670*B688)*B692*B694</f>
        <v>1149.6967999999999</v>
      </c>
    </row>
    <row r="685" spans="1:8" x14ac:dyDescent="0.25">
      <c r="A685" s="11" t="s">
        <v>508</v>
      </c>
    </row>
    <row r="686" spans="1:8" x14ac:dyDescent="0.25">
      <c r="A686" t="s">
        <v>506</v>
      </c>
      <c r="B686" s="6">
        <v>1</v>
      </c>
    </row>
    <row r="687" spans="1:8" x14ac:dyDescent="0.25">
      <c r="A687" s="12" t="s">
        <v>509</v>
      </c>
    </row>
    <row r="688" spans="1:8" x14ac:dyDescent="0.25">
      <c r="A688" s="6" t="s">
        <v>507</v>
      </c>
      <c r="B688" s="6">
        <v>0</v>
      </c>
    </row>
    <row r="689" spans="1:4" x14ac:dyDescent="0.25">
      <c r="A689" s="48" t="s">
        <v>510</v>
      </c>
    </row>
    <row r="690" spans="1:4" x14ac:dyDescent="0.25">
      <c r="A690" s="46" t="s">
        <v>511</v>
      </c>
      <c r="B690" s="6">
        <v>1</v>
      </c>
    </row>
    <row r="691" spans="1:4" x14ac:dyDescent="0.25">
      <c r="A691" s="48" t="s">
        <v>512</v>
      </c>
    </row>
    <row r="692" spans="1:4" x14ac:dyDescent="0.25">
      <c r="A692" s="46" t="s">
        <v>513</v>
      </c>
      <c r="B692" s="6">
        <v>1</v>
      </c>
    </row>
    <row r="693" spans="1:4" x14ac:dyDescent="0.25">
      <c r="A693" s="48" t="s">
        <v>514</v>
      </c>
    </row>
    <row r="694" spans="1:4" x14ac:dyDescent="0.25">
      <c r="A694" s="46" t="s">
        <v>515</v>
      </c>
      <c r="B694" s="6">
        <v>1.4</v>
      </c>
    </row>
    <row r="696" spans="1:4" x14ac:dyDescent="0.25">
      <c r="A696" s="46" t="s">
        <v>519</v>
      </c>
    </row>
    <row r="697" spans="1:4" x14ac:dyDescent="0.25">
      <c r="A697" s="46" t="s">
        <v>520</v>
      </c>
      <c r="B697" s="6">
        <f>MAX(B683,B684)</f>
        <v>1149.6967999999999</v>
      </c>
    </row>
    <row r="698" spans="1:4" x14ac:dyDescent="0.25">
      <c r="A698" s="48" t="s">
        <v>521</v>
      </c>
    </row>
    <row r="699" spans="1:4" x14ac:dyDescent="0.25">
      <c r="A699" s="46" t="s">
        <v>522</v>
      </c>
      <c r="B699" s="6">
        <f>60*F2*C66/10^6</f>
        <v>1127.0999999999999</v>
      </c>
      <c r="C699" s="6" t="s">
        <v>523</v>
      </c>
    </row>
    <row r="700" spans="1:4" x14ac:dyDescent="0.25">
      <c r="A700" s="48" t="s">
        <v>524</v>
      </c>
    </row>
    <row r="701" spans="1:4" x14ac:dyDescent="0.25">
      <c r="A701" s="46" t="s">
        <v>525</v>
      </c>
      <c r="B701" s="6">
        <f>B697*B699^(1/3)</f>
        <v>11964.764066420434</v>
      </c>
      <c r="C701" s="6" t="s">
        <v>527</v>
      </c>
      <c r="D701" s="6" t="s">
        <v>528</v>
      </c>
    </row>
    <row r="703" spans="1:4" x14ac:dyDescent="0.25">
      <c r="A703" s="4" t="s">
        <v>529</v>
      </c>
    </row>
    <row r="704" spans="1:4" x14ac:dyDescent="0.25">
      <c r="A704" s="46" t="s">
        <v>530</v>
      </c>
    </row>
    <row r="705" spans="1:4" x14ac:dyDescent="0.25">
      <c r="A705"/>
    </row>
    <row r="707" spans="1:4" x14ac:dyDescent="0.25">
      <c r="A707" s="6" t="s">
        <v>532</v>
      </c>
    </row>
    <row r="708" spans="1:4" x14ac:dyDescent="0.25">
      <c r="A708" s="46" t="s">
        <v>531</v>
      </c>
    </row>
    <row r="710" spans="1:4" x14ac:dyDescent="0.25">
      <c r="A710" s="11" t="s">
        <v>533</v>
      </c>
    </row>
    <row r="711" spans="1:4" x14ac:dyDescent="0.25">
      <c r="A711" s="46" t="s">
        <v>534</v>
      </c>
    </row>
    <row r="712" spans="1:4" x14ac:dyDescent="0.25">
      <c r="A712" s="46" t="s">
        <v>535</v>
      </c>
      <c r="B712" s="6">
        <f>B668</f>
        <v>541.23</v>
      </c>
    </row>
    <row r="713" spans="1:4" x14ac:dyDescent="0.25">
      <c r="A713" s="46" t="s">
        <v>536</v>
      </c>
      <c r="B713" s="6">
        <f>B669</f>
        <v>821.21199999999999</v>
      </c>
    </row>
    <row r="715" spans="1:4" x14ac:dyDescent="0.25">
      <c r="A715" s="46" t="s">
        <v>537</v>
      </c>
    </row>
    <row r="716" spans="1:4" x14ac:dyDescent="0.25">
      <c r="A716" s="46" t="s">
        <v>538</v>
      </c>
      <c r="B716" s="6">
        <f>MAX(B712:B713)</f>
        <v>821.21199999999999</v>
      </c>
      <c r="C716" s="6" t="s">
        <v>539</v>
      </c>
      <c r="D716" s="6" t="s">
        <v>374</v>
      </c>
    </row>
    <row r="719" spans="1:4" x14ac:dyDescent="0.25">
      <c r="A719" s="13" t="s">
        <v>540</v>
      </c>
    </row>
    <row r="720" spans="1:4" x14ac:dyDescent="0.25">
      <c r="A720" s="4" t="s">
        <v>541</v>
      </c>
    </row>
    <row r="721" spans="1:5" ht="14.4" thickBot="1" x14ac:dyDescent="0.3"/>
    <row r="722" spans="1:5" x14ac:dyDescent="0.25">
      <c r="A722" s="51" t="s">
        <v>377</v>
      </c>
      <c r="B722" s="51" t="s">
        <v>187</v>
      </c>
      <c r="C722" s="51" t="s">
        <v>223</v>
      </c>
      <c r="D722" s="51" t="e" vm="1">
        <v>#VALUE!</v>
      </c>
      <c r="E722" s="51" t="e" vm="2">
        <v>#VALUE!</v>
      </c>
    </row>
    <row r="723" spans="1:5" ht="14.4" thickBot="1" x14ac:dyDescent="0.3">
      <c r="A723" s="52"/>
      <c r="B723" s="52"/>
      <c r="C723" s="52"/>
      <c r="D723" s="52"/>
      <c r="E723" s="52"/>
    </row>
    <row r="724" spans="1:5" ht="17.399999999999999" thickBot="1" x14ac:dyDescent="0.3">
      <c r="A724" s="49" t="s">
        <v>379</v>
      </c>
      <c r="B724" s="50" t="s">
        <v>188</v>
      </c>
      <c r="C724" s="50" t="s">
        <v>380</v>
      </c>
      <c r="D724" s="50">
        <v>750</v>
      </c>
      <c r="E724" s="50">
        <v>450</v>
      </c>
    </row>
  </sheetData>
  <mergeCells count="18">
    <mergeCell ref="D722:D723"/>
    <mergeCell ref="E722:E723"/>
    <mergeCell ref="C573:C574"/>
    <mergeCell ref="C576:C577"/>
    <mergeCell ref="C611:C612"/>
    <mergeCell ref="A722:A723"/>
    <mergeCell ref="B722:B723"/>
    <mergeCell ref="C722:C723"/>
    <mergeCell ref="A446:A447"/>
    <mergeCell ref="B446:B447"/>
    <mergeCell ref="C446:C447"/>
    <mergeCell ref="D446:D447"/>
    <mergeCell ref="E446:E447"/>
    <mergeCell ref="D493:D494"/>
    <mergeCell ref="F90:F100"/>
    <mergeCell ref="C227:C238"/>
    <mergeCell ref="C244:C245"/>
    <mergeCell ref="C290:C291"/>
  </mergeCells>
  <phoneticPr fontId="12" type="noConversion"/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Sheet2</vt:lpstr>
      <vt:lpstr>Sheet1</vt:lpstr>
      <vt:lpstr>Sheet1!_Toc233408285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 duc</dc:creator>
  <cp:lastModifiedBy>nguyen duc</cp:lastModifiedBy>
  <dcterms:created xsi:type="dcterms:W3CDTF">2026-09-26T03:24:25Z</dcterms:created>
  <dcterms:modified xsi:type="dcterms:W3CDTF">2026-10-26T14:58:08Z</dcterms:modified>
</cp:coreProperties>
</file>