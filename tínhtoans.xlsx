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E84CE9C9-377A-44CF-A964-F48F0F996376}" xr6:coauthVersionLast="47" xr6:coauthVersionMax="47" xr10:uidLastSave="{00000000-0000-0000-0000-000000000000}"/>
  <bookViews>
    <workbookView xWindow="-108" yWindow="-108" windowWidth="23256" windowHeight="12456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2" i="1" l="1"/>
  <c r="B330" i="1"/>
  <c r="B326" i="1"/>
  <c r="B325" i="1"/>
  <c r="B323" i="1"/>
  <c r="B322" i="1"/>
  <c r="B320" i="1"/>
  <c r="B319" i="1"/>
  <c r="B317" i="1"/>
  <c r="B316" i="1"/>
  <c r="B314" i="1"/>
  <c r="B313" i="1"/>
  <c r="B311" i="1"/>
  <c r="B136" i="1"/>
  <c r="B166" i="1"/>
  <c r="B170" i="1"/>
  <c r="B125" i="1"/>
  <c r="B143" i="1"/>
  <c r="D168" i="1"/>
  <c r="B309" i="1"/>
  <c r="B302" i="1"/>
  <c r="B300" i="1"/>
  <c r="B298" i="1"/>
  <c r="B296" i="1"/>
  <c r="B295" i="1"/>
  <c r="B291" i="1"/>
  <c r="B290" i="1"/>
  <c r="B286" i="1"/>
  <c r="B282" i="1"/>
  <c r="B276" i="1"/>
  <c r="B275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B10" i="1"/>
  <c r="C203" i="1"/>
  <c r="B161" i="1"/>
  <c r="C197" i="1" s="1"/>
  <c r="C189" i="1"/>
  <c r="B120" i="1"/>
  <c r="E64" i="1"/>
  <c r="B16" i="1"/>
  <c r="B29" i="1" s="1"/>
  <c r="B19" i="1"/>
  <c r="B7" i="1"/>
  <c r="B35" i="1" s="1"/>
  <c r="B37" i="1" s="1"/>
  <c r="D65" i="1" s="1"/>
  <c r="B102" i="1" s="1"/>
  <c r="B271" i="1" l="1"/>
  <c r="B21" i="1"/>
  <c r="B155" i="1"/>
  <c r="B156" i="1"/>
  <c r="C194" i="1" s="1"/>
  <c r="B159" i="1"/>
  <c r="C196" i="1" s="1"/>
  <c r="B31" i="1"/>
  <c r="D64" i="1" s="1"/>
  <c r="C191" i="1"/>
  <c r="B122" i="1"/>
  <c r="B127" i="1"/>
  <c r="B133" i="1" s="1"/>
  <c r="B148" i="1" s="1"/>
  <c r="B158" i="1"/>
  <c r="C195" i="1" s="1"/>
  <c r="E65" i="1"/>
  <c r="B75" i="1"/>
  <c r="B85" i="1"/>
  <c r="B13" i="1"/>
  <c r="B39" i="1"/>
  <c r="B66" i="1"/>
  <c r="C202" i="1" l="1"/>
  <c r="B164" i="1"/>
  <c r="C199" i="1" s="1"/>
  <c r="C129" i="1"/>
  <c r="B129" i="1"/>
  <c r="B163" i="1"/>
  <c r="C198" i="1" s="1"/>
  <c r="C193" i="1"/>
  <c r="C190" i="1"/>
  <c r="C65" i="1"/>
  <c r="B41" i="1"/>
  <c r="B46" i="1"/>
  <c r="B48" i="1" s="1"/>
  <c r="C66" i="1" l="1"/>
  <c r="B255" i="1" s="1"/>
  <c r="B53" i="1"/>
  <c r="B67" i="1" s="1"/>
  <c r="B65" i="1"/>
  <c r="B55" i="1"/>
  <c r="C67" i="1" s="1"/>
  <c r="B50" i="1" l="1"/>
  <c r="E66" i="1" s="1"/>
  <c r="B87" i="1"/>
  <c r="B103" i="1" s="1"/>
  <c r="B57" i="1"/>
  <c r="D67" i="1" s="1"/>
  <c r="D66" i="1"/>
  <c r="B256" i="1" s="1"/>
  <c r="B146" i="1" l="1"/>
  <c r="B59" i="1"/>
  <c r="E67" i="1" s="1"/>
  <c r="B180" i="1" l="1"/>
  <c r="C204" i="1" s="1"/>
  <c r="C200" i="1"/>
  <c r="B147" i="1"/>
  <c r="B151" i="1" s="1"/>
</calcChain>
</file>

<file path=xl/sharedStrings.xml><?xml version="1.0" encoding="utf-8"?>
<sst xmlns="http://schemas.openxmlformats.org/spreadsheetml/2006/main" count="344" uniqueCount="304">
  <si>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</si>
  <si>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</si>
  <si>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</si>
  <si>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</si>
  <si>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</si>
  <si>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</si>
  <si>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</si>
  <si>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</si>
  <si>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</si>
  <si>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</si>
  <si>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</si>
  <si>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</si>
  <si>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</si>
  <si>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</si>
  <si>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</si>
  <si>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</si>
  <si>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</si>
  <si>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</si>
  <si>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</si>
  <si>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</si>
  <si>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</si>
  <si>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</si>
  <si>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</si>
  <si>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</si>
  <si>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</si>
  <si>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</si>
  <si>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</si>
  <si>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</si>
  <si>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</si>
  <si>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</si>
  <si>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</si>
  <si>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</si>
  <si>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</si>
  <si>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</si>
  <si>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</si>
  <si>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</si>
  <si>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</si>
  <si>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</si>
  <si>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</si>
  <si>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</si>
  <si>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</si>
  <si>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</si>
  <si>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</si>
  <si>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</si>
  <si>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</si>
  <si>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</si>
  <si>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</si>
  <si>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</si>
  <si>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</si>
  <si>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</si>
  <si>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</si>
  <si>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</si>
  <si>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</si>
  <si>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</si>
  <si>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</si>
  <si>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</si>
  <si>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</si>
  <si>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</si>
  <si>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</si>
  <si>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</si>
  <si>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</si>
  <si>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</si>
  <si>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</si>
  <si>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</si>
  <si>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</si>
  <si>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</si>
  <si>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</si>
  <si>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</si>
  <si>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</si>
  <si>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</si>
  <si>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</si>
  <si>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</si>
  <si>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</si>
  <si>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</si>
  <si>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</si>
  <si>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</si>
  <si>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</si>
  <si>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</si>
  <si>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</si>
  <si>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</si>
  <si>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</si>
  <si>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</si>
  <si>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</si>
  <si>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</si>
  <si>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</si>
  <si>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</si>
  <si>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</si>
  <si>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</si>
  <si>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</si>
  <si>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</si>
  <si>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</si>
  <si>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</si>
  <si>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</si>
  <si>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</si>
  <si>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</si>
  <si>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</si>
  <si>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</si>
  <si>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</si>
  <si>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</si>
  <si>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</si>
  <si>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</si>
  <si>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</si>
  <si>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</si>
  <si>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</si>
  <si>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</si>
  <si>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</si>
  <si>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</si>
  <si>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</si>
  <si>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</si>
  <si>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</si>
  <si>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</si>
  <si>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</si>
  <si>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</si>
  <si>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</si>
  <si>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</si>
  <si>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</si>
  <si>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</si>
  <si>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</si>
  <si>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</si>
  <si>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</si>
  <si>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</si>
  <si>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</si>
  <si>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</si>
  <si>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</si>
  <si>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</si>
  <si>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</si>
  <si>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</si>
  <si>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</si>
  <si>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</si>
  <si>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</si>
  <si>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</si>
  <si>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</si>
  <si>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</si>
  <si>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</si>
  <si>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</si>
  <si>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</si>
  <si>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</si>
  <si>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</si>
  <si>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</si>
  <si>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</si>
  <si>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</si>
  <si>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</si>
  <si>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</si>
  <si>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</si>
  <si>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</si>
  <si>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</si>
  <si>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</si>
  <si>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</si>
  <si>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</si>
  <si>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</si>
  <si>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</si>
  <si>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</si>
  <si>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</si>
  <si>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</si>
  <si>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</si>
  <si>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</si>
  <si>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</si>
  <si>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</si>
  <si>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</si>
  <si>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</si>
  <si>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</si>
  <si>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</si>
  <si>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</si>
  <si>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</si>
  <si>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</si>
  <si>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</si>
  <si>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</si>
  <si>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</si>
  <si>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</si>
  <si>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</si>
  <si>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</si>
  <si>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</si>
  <si>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</si>
  <si>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</si>
  <si>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</si>
  <si>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</si>
  <si>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</si>
  <si>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</si>
  <si>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</si>
  <si>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</si>
  <si>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</si>
  <si>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</si>
  <si>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</si>
  <si>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</si>
  <si>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</si>
  <si>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</si>
  <si>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</si>
  <si>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</si>
  <si>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</si>
  <si>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</si>
  <si>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</si>
  <si>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</si>
  <si>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</si>
  <si>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</si>
  <si>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</si>
  <si>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</si>
  <si>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</si>
  <si>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</si>
  <si>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</si>
  <si>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</si>
  <si>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</si>
  <si>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</si>
  <si>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</si>
  <si>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</si>
  <si>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</si>
  <si>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</si>
  <si>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</si>
  <si>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</si>
  <si>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</si>
  <si>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</si>
  <si>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</si>
  <si>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</si>
  <si>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</si>
  <si>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</si>
  <si>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</si>
  <si>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</si>
  <si>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</si>
  <si>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</si>
  <si>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</si>
  <si>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</si>
  <si>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</si>
  <si>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</si>
  <si>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</si>
  <si>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</si>
  <si>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</si>
  <si>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</si>
  <si>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</si>
  <si>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</si>
  <si>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</si>
  <si>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</si>
  <si>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Ứng suất uống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</si>
  <si>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</si>
  <si>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</si>
  <si>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</si>
  <si>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</si>
  <si>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</si>
  <si>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</si>
  <si>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</si>
  <si>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</si>
  <si>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</si>
  <si>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</si>
  <si>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</si>
  <si>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</si>
  <si>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</si>
  <si>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</si>
  <si>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</si>
  <si>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</si>
  <si>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</si>
  <si>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</si>
  <si>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</si>
  <si>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</si>
  <si>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</si>
  <si>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</si>
  <si>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</si>
  <si>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</si>
  <si>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</si>
  <si>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</si>
  <si>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</si>
  <si>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</si>
  <si>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</si>
  <si>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</si>
  <si>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</si>
  <si>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</si>
  <si>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</si>
  <si>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</si>
  <si>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</si>
  <si>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</si>
  <si>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</si>
  <si>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</si>
  <si>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</si>
  <si>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</si>
  <si>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</si>
  <si>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</si>
  <si>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</si>
  <si>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</si>
  <si>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</si>
  <si>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</si>
  <si>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</si>
  <si>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</si>
  <si>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</si>
  <si>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</si>
  <si>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</si>
  <si>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</si>
  <si>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</si>
  <si>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</si>
  <si>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</si>
  <si>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Tra bảng 5.5 tr82 với n01 = 1200 và P_t &lt;= [P], có</t>
  </si>
  <si>
    <t>Đường kính chia</t>
  </si>
  <si>
    <t>d1</t>
  </si>
  <si>
    <t>d2</t>
  </si>
  <si>
    <t>Đường kính lăn</t>
  </si>
  <si>
    <t>d_w1</t>
  </si>
  <si>
    <t>d_w2</t>
  </si>
  <si>
    <t>Đường kính đỉnh răng</t>
  </si>
  <si>
    <t>Đường kính đáy răng</t>
  </si>
  <si>
    <t>Đường kính cơ sở</t>
  </si>
  <si>
    <t>d_b1</t>
  </si>
  <si>
    <t>d_b2</t>
  </si>
  <si>
    <t>Góc profin gốc</t>
  </si>
  <si>
    <t>alpha</t>
  </si>
  <si>
    <t>Góc profin răng</t>
  </si>
  <si>
    <t>alpha_t</t>
  </si>
  <si>
    <t>Góc ăn khớp</t>
  </si>
  <si>
    <t>alpha_tw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</si>
</sst>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4" fillId="0" borderId="0" xfId="0" applyFont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0" fillId="3" borderId="1" xfId="0" applyFont="1" applyFill="1" applyBorder="1"/>
    <xf numFmtId="0" fontId="0" fillId="2" borderId="0" xfId="0" applyFont="1" applyFill="1" applyBorder="1"/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1126086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1082373</xdr:colOff>
      <xdr:row>223</xdr:row>
      <xdr:rowOff>95335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707020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2878637</xdr:colOff>
      <xdr:row>249</xdr:row>
      <xdr:rowOff>20996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250025</xdr:colOff>
      <xdr:row>255</xdr:row>
      <xdr:rowOff>91476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476582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221226</xdr:colOff>
      <xdr:row>287</xdr:row>
      <xdr:rowOff>93398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1706880</xdr:colOff>
      <xdr:row>298</xdr:row>
      <xdr:rowOff>99060</xdr:rowOff>
    </xdr:from>
    <xdr:to>
      <xdr:col>5</xdr:col>
      <xdr:colOff>1059741</xdr:colOff>
      <xdr:row>337</xdr:row>
      <xdr:rowOff>23446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412480" y="52806600"/>
          <a:ext cx="6477561" cy="6759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332"/>
  <sheetViews>
    <sheetView tabSelected="1" topLeftCell="A306" workbookViewId="0">
      <selection activeCell="B332" sqref="B332"/>
    </sheetView>
  </sheetViews>
  <sheetFormatPr defaultRowHeight="13.8" x14ac:dyDescent="0.25"/>
  <cols>
    <col min="1" max="1" width="55.898437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26" t="s">
        <v>118</v>
      </c>
    </row>
    <row r="91" spans="1:6" x14ac:dyDescent="0.25">
      <c r="A91" s="12" t="s">
        <v>102</v>
      </c>
      <c r="F91" s="26"/>
    </row>
    <row r="92" spans="1:6" x14ac:dyDescent="0.25">
      <c r="A92" t="s">
        <v>103</v>
      </c>
      <c r="B92" s="6">
        <v>1</v>
      </c>
      <c r="C92" s="6" t="s">
        <v>104</v>
      </c>
      <c r="F92" s="26"/>
    </row>
    <row r="93" spans="1:6" x14ac:dyDescent="0.25">
      <c r="A93" s="12" t="s">
        <v>105</v>
      </c>
      <c r="F93" s="26"/>
    </row>
    <row r="94" spans="1:6" x14ac:dyDescent="0.25">
      <c r="A94" t="s">
        <v>106</v>
      </c>
      <c r="B94" s="6">
        <v>1.25</v>
      </c>
      <c r="C94" s="6" t="s">
        <v>107</v>
      </c>
      <c r="F94" s="26"/>
    </row>
    <row r="95" spans="1:6" x14ac:dyDescent="0.25">
      <c r="A95" s="12" t="s">
        <v>109</v>
      </c>
      <c r="F95" s="26"/>
    </row>
    <row r="96" spans="1:6" x14ac:dyDescent="0.25">
      <c r="A96" t="s">
        <v>110</v>
      </c>
      <c r="B96" s="6">
        <v>1.3</v>
      </c>
      <c r="C96" s="6" t="s">
        <v>111</v>
      </c>
      <c r="F96" s="26"/>
    </row>
    <row r="97" spans="1:6" x14ac:dyDescent="0.25">
      <c r="A97" s="12" t="s">
        <v>112</v>
      </c>
      <c r="F97" s="26"/>
    </row>
    <row r="98" spans="1:6" x14ac:dyDescent="0.25">
      <c r="A98" t="s">
        <v>106</v>
      </c>
      <c r="B98" s="6">
        <v>1.3</v>
      </c>
      <c r="C98" s="6" t="s">
        <v>113</v>
      </c>
      <c r="F98" s="26"/>
    </row>
    <row r="99" spans="1:6" x14ac:dyDescent="0.25">
      <c r="A99" s="12" t="s">
        <v>114</v>
      </c>
      <c r="F99" s="26"/>
    </row>
    <row r="100" spans="1:6" x14ac:dyDescent="0.25">
      <c r="A100" t="s">
        <v>115</v>
      </c>
      <c r="B100" s="6">
        <v>1</v>
      </c>
      <c r="C100" s="6" t="s">
        <v>116</v>
      </c>
      <c r="F100" s="26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286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15.875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5.08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13.28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10.8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635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2063.75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638.36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1.2767200000000001</v>
      </c>
      <c r="C129" s="6">
        <f>0.004*B127</f>
        <v>2.5534400000000002</v>
      </c>
    </row>
    <row r="130" spans="1:3" x14ac:dyDescent="0.25">
      <c r="A130" s="12" t="s">
        <v>141</v>
      </c>
      <c r="B130" s="6">
        <v>2.36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636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284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1.57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2656.05</v>
      </c>
    </row>
    <row r="147" spans="1:6" x14ac:dyDescent="0.25">
      <c r="A147" t="s">
        <v>153</v>
      </c>
      <c r="B147" s="6">
        <f>ROUND(F145*B143^2,2)</f>
        <v>6.41</v>
      </c>
    </row>
    <row r="148" spans="1:6" x14ac:dyDescent="0.25">
      <c r="A148" t="s">
        <v>154</v>
      </c>
      <c r="B148" s="6">
        <f>ROUND(9.81*D148*F145*B133/1000,2)</f>
        <v>32.44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11.7</v>
      </c>
    </row>
    <row r="151" spans="1:6" x14ac:dyDescent="0.25">
      <c r="A151" t="s">
        <v>156</v>
      </c>
      <c r="B151" s="6">
        <f>ROUND(B144*10^3/(B145*B146+B148+B147),2)</f>
        <v>17.579999999999998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116.64</v>
      </c>
    </row>
    <row r="156" spans="1:6" x14ac:dyDescent="0.25">
      <c r="A156" t="s">
        <v>166</v>
      </c>
      <c r="B156" s="6">
        <f>ROUND(B108/SIN(3.14/C75),2)</f>
        <v>369.18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123.5</v>
      </c>
    </row>
    <row r="159" spans="1:6" x14ac:dyDescent="0.25">
      <c r="A159" t="s">
        <v>169</v>
      </c>
      <c r="B159" s="6">
        <f>ROUND(B108*(0.5+_xlfn.COT(3.14/C75)),2)</f>
        <v>376.78</v>
      </c>
    </row>
    <row r="160" spans="1:6" x14ac:dyDescent="0.25">
      <c r="A160" s="12" t="s">
        <v>170</v>
      </c>
      <c r="B160" s="6" t="s">
        <v>172</v>
      </c>
      <c r="C160" s="6">
        <v>10.16</v>
      </c>
      <c r="D160" s="6" t="s">
        <v>285</v>
      </c>
    </row>
    <row r="161" spans="1:5" x14ac:dyDescent="0.25">
      <c r="A161" t="s">
        <v>171</v>
      </c>
      <c r="B161" s="6">
        <f>ROUND(0.5025*C160+0.05,2)</f>
        <v>5.16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106.32</v>
      </c>
    </row>
    <row r="164" spans="1:5" x14ac:dyDescent="0.25">
      <c r="A164" s="18" t="s">
        <v>175</v>
      </c>
      <c r="B164" s="6">
        <f>B156-2*B161</f>
        <v>358.86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1.34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573.35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2788.85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15.875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2063.75</v>
      </c>
    </row>
    <row r="190" spans="1:3" ht="14.4" thickBot="1" x14ac:dyDescent="0.3">
      <c r="A190" s="20" t="s">
        <v>132</v>
      </c>
      <c r="B190"/>
      <c r="C190">
        <f>B133</f>
        <v>636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116.64</v>
      </c>
    </row>
    <row r="194" spans="1:3" ht="14.4" thickBot="1" x14ac:dyDescent="0.3">
      <c r="A194" s="20" t="s">
        <v>208</v>
      </c>
      <c r="B194"/>
      <c r="C194">
        <f>B156</f>
        <v>369.18</v>
      </c>
    </row>
    <row r="195" spans="1:3" ht="14.4" thickBot="1" x14ac:dyDescent="0.3">
      <c r="A195" s="20" t="s">
        <v>214</v>
      </c>
      <c r="B195"/>
      <c r="C195">
        <f>B158</f>
        <v>123.5</v>
      </c>
    </row>
    <row r="196" spans="1:3" ht="14.4" thickBot="1" x14ac:dyDescent="0.3">
      <c r="A196" s="20" t="s">
        <v>215</v>
      </c>
      <c r="B196"/>
      <c r="C196">
        <f>B159</f>
        <v>376.78</v>
      </c>
    </row>
    <row r="197" spans="1:3" ht="14.4" thickBot="1" x14ac:dyDescent="0.3">
      <c r="A197" s="20" t="s">
        <v>170</v>
      </c>
      <c r="B197"/>
      <c r="C197">
        <f>B161</f>
        <v>5.16</v>
      </c>
    </row>
    <row r="198" spans="1:3" ht="14.4" thickBot="1" x14ac:dyDescent="0.3">
      <c r="A198" s="20" t="s">
        <v>209</v>
      </c>
      <c r="B198"/>
      <c r="C198">
        <f>B163</f>
        <v>106.32</v>
      </c>
    </row>
    <row r="199" spans="1:3" ht="14.4" thickBot="1" x14ac:dyDescent="0.3">
      <c r="A199" s="20" t="s">
        <v>210</v>
      </c>
      <c r="B199"/>
      <c r="C199">
        <f>B164</f>
        <v>358.86</v>
      </c>
    </row>
    <row r="200" spans="1:3" ht="14.4" thickBot="1" x14ac:dyDescent="0.3">
      <c r="A200" s="20" t="s">
        <v>211</v>
      </c>
      <c r="B200"/>
      <c r="C200">
        <f>B170</f>
        <v>573.35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2788.85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234</v>
      </c>
      <c r="B225" s="6">
        <v>250</v>
      </c>
    </row>
    <row r="226" spans="1:3" x14ac:dyDescent="0.25">
      <c r="A226" s="6" t="s">
        <v>235</v>
      </c>
      <c r="B226" s="6">
        <v>220</v>
      </c>
    </row>
    <row r="227" spans="1:3" x14ac:dyDescent="0.25">
      <c r="A227" s="11" t="s">
        <v>191</v>
      </c>
      <c r="C227" s="26" t="s">
        <v>231</v>
      </c>
    </row>
    <row r="228" spans="1:3" x14ac:dyDescent="0.25">
      <c r="A228"/>
      <c r="C228" s="26"/>
    </row>
    <row r="229" spans="1:3" x14ac:dyDescent="0.25">
      <c r="A229" t="s">
        <v>232</v>
      </c>
      <c r="B229" s="6">
        <f>2*B225+70</f>
        <v>570</v>
      </c>
      <c r="C229" s="26"/>
    </row>
    <row r="230" spans="1:3" x14ac:dyDescent="0.25">
      <c r="A230" t="s">
        <v>233</v>
      </c>
      <c r="B230" s="6">
        <f>2*B226+70</f>
        <v>510</v>
      </c>
      <c r="C230" s="26"/>
    </row>
    <row r="231" spans="1:3" x14ac:dyDescent="0.25">
      <c r="A231" s="11" t="s">
        <v>230</v>
      </c>
      <c r="C231" s="26"/>
    </row>
    <row r="232" spans="1:3" x14ac:dyDescent="0.25">
      <c r="A232"/>
      <c r="C232" s="26"/>
    </row>
    <row r="233" spans="1:3" x14ac:dyDescent="0.25">
      <c r="A233" t="s">
        <v>232</v>
      </c>
      <c r="B233" s="6">
        <f>1.8*B225</f>
        <v>450</v>
      </c>
      <c r="C233" s="26"/>
    </row>
    <row r="234" spans="1:3" x14ac:dyDescent="0.25">
      <c r="A234" t="s">
        <v>233</v>
      </c>
      <c r="B234" s="6">
        <f>1.8*B226</f>
        <v>396</v>
      </c>
      <c r="C234" s="26"/>
    </row>
    <row r="235" spans="1:3" x14ac:dyDescent="0.25">
      <c r="C235" s="26"/>
    </row>
    <row r="236" spans="1:3" x14ac:dyDescent="0.25">
      <c r="A236" s="12" t="s">
        <v>236</v>
      </c>
      <c r="C236" s="26"/>
    </row>
    <row r="237" spans="1:3" x14ac:dyDescent="0.25">
      <c r="A237" t="s">
        <v>237</v>
      </c>
      <c r="B237" s="6">
        <v>1.1000000000000001</v>
      </c>
      <c r="C237" s="26"/>
    </row>
    <row r="238" spans="1:3" x14ac:dyDescent="0.25">
      <c r="A238" t="s">
        <v>238</v>
      </c>
      <c r="B238" s="6">
        <v>1.75</v>
      </c>
      <c r="C238" s="26"/>
    </row>
    <row r="240" spans="1:3" x14ac:dyDescent="0.25">
      <c r="A240" s="12" t="s">
        <v>239</v>
      </c>
    </row>
    <row r="241" spans="1:3" x14ac:dyDescent="0.25">
      <c r="A241" t="s">
        <v>240</v>
      </c>
      <c r="B241" s="6">
        <f>1</f>
        <v>1</v>
      </c>
      <c r="C241" s="6" t="s">
        <v>241</v>
      </c>
    </row>
    <row r="243" spans="1:3" x14ac:dyDescent="0.25">
      <c r="A243" s="12" t="s">
        <v>242</v>
      </c>
    </row>
    <row r="244" spans="1:3" x14ac:dyDescent="0.25">
      <c r="A244" t="s">
        <v>243</v>
      </c>
      <c r="B244" s="6">
        <v>6</v>
      </c>
      <c r="C244" s="26" t="s">
        <v>245</v>
      </c>
    </row>
    <row r="245" spans="1:3" x14ac:dyDescent="0.25">
      <c r="A245" t="s">
        <v>244</v>
      </c>
      <c r="B245" s="6">
        <v>6</v>
      </c>
      <c r="C245" s="26"/>
    </row>
    <row r="247" spans="1:3" x14ac:dyDescent="0.25">
      <c r="A247" s="12" t="s">
        <v>246</v>
      </c>
    </row>
    <row r="248" spans="1:3" x14ac:dyDescent="0.25">
      <c r="A248" t="s">
        <v>232</v>
      </c>
      <c r="B248" s="6">
        <f>30*B225^2.4</f>
        <v>17067789.403369471</v>
      </c>
    </row>
    <row r="249" spans="1:3" x14ac:dyDescent="0.25">
      <c r="A249" t="s">
        <v>233</v>
      </c>
      <c r="B249" s="6">
        <f>30*B226^2.4</f>
        <v>12558439.817137647</v>
      </c>
    </row>
    <row r="251" spans="1:3" x14ac:dyDescent="0.25">
      <c r="A251" s="12" t="s">
        <v>247</v>
      </c>
    </row>
    <row r="252" spans="1:3" x14ac:dyDescent="0.25">
      <c r="A252" t="s">
        <v>248</v>
      </c>
      <c r="B252" s="6">
        <f>4*10^6</f>
        <v>4000000</v>
      </c>
      <c r="C252" s="6" t="s">
        <v>249</v>
      </c>
    </row>
    <row r="254" spans="1:3" x14ac:dyDescent="0.25">
      <c r="A254" s="12" t="s">
        <v>250</v>
      </c>
      <c r="B254" s="6" t="s">
        <v>251</v>
      </c>
      <c r="C254" s="6" t="s">
        <v>252</v>
      </c>
    </row>
    <row r="255" spans="1:3" x14ac:dyDescent="0.25">
      <c r="A255" t="s">
        <v>232</v>
      </c>
      <c r="B255" s="6">
        <f>60*1*C66*F2</f>
        <v>1127100000</v>
      </c>
    </row>
    <row r="256" spans="1:3" x14ac:dyDescent="0.25">
      <c r="A256" t="s">
        <v>233</v>
      </c>
      <c r="B256" s="6">
        <f>60*1*D66*F2</f>
        <v>200912400</v>
      </c>
    </row>
    <row r="258" spans="1:2" x14ac:dyDescent="0.25">
      <c r="A258" t="s">
        <v>253</v>
      </c>
      <c r="B258" s="6">
        <v>1</v>
      </c>
    </row>
    <row r="259" spans="1:2" x14ac:dyDescent="0.25">
      <c r="A259" t="s">
        <v>254</v>
      </c>
      <c r="B259" s="6">
        <v>1</v>
      </c>
    </row>
    <row r="260" spans="1:2" x14ac:dyDescent="0.25">
      <c r="A260" t="s">
        <v>255</v>
      </c>
      <c r="B260" s="6">
        <v>1</v>
      </c>
    </row>
    <row r="261" spans="1:2" x14ac:dyDescent="0.25">
      <c r="A261" t="s">
        <v>256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232</v>
      </c>
      <c r="B264" s="6">
        <f>ROUND(B229*B258/B237,2)</f>
        <v>518.17999999999995</v>
      </c>
    </row>
    <row r="265" spans="1:2" x14ac:dyDescent="0.25">
      <c r="A265" t="s">
        <v>233</v>
      </c>
      <c r="B265" s="6">
        <f>ROUND(B230*B260/B237,2)</f>
        <v>463.64</v>
      </c>
    </row>
    <row r="266" spans="1:2" x14ac:dyDescent="0.25">
      <c r="A266" s="12" t="s">
        <v>257</v>
      </c>
    </row>
    <row r="267" spans="1:2" x14ac:dyDescent="0.25">
      <c r="A267" t="s">
        <v>232</v>
      </c>
      <c r="B267" s="6">
        <f>ROUND(B233*B259/B238,2)</f>
        <v>257.14</v>
      </c>
    </row>
    <row r="268" spans="1:2" x14ac:dyDescent="0.25">
      <c r="A268" t="s">
        <v>233</v>
      </c>
      <c r="B268" s="6">
        <f>ROUND(B234*B260/B238,2)</f>
        <v>226.29</v>
      </c>
    </row>
    <row r="270" spans="1:2" x14ac:dyDescent="0.25">
      <c r="A270" s="12" t="s">
        <v>258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259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260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261</v>
      </c>
    </row>
    <row r="279" spans="1:2" x14ac:dyDescent="0.25">
      <c r="A279" s="4" t="s">
        <v>262</v>
      </c>
    </row>
    <row r="280" spans="1:2" x14ac:dyDescent="0.25">
      <c r="A280" t="s">
        <v>264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0.53*B281*(B77+1)</f>
        <v>0.66303000000000001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263</v>
      </c>
    </row>
    <row r="286" spans="1:2" x14ac:dyDescent="0.25">
      <c r="A286"/>
      <c r="B286">
        <f>ROUND(B280*(B31+1)*(C67*B283/(B271^2*B31*B281))^(1/3),2)</f>
        <v>141.94999999999999</v>
      </c>
    </row>
    <row r="288" spans="1:2" x14ac:dyDescent="0.25">
      <c r="A288" s="4" t="s">
        <v>265</v>
      </c>
    </row>
    <row r="289" spans="1:4" x14ac:dyDescent="0.25">
      <c r="A289" s="11" t="s">
        <v>266</v>
      </c>
    </row>
    <row r="290" spans="1:4" x14ac:dyDescent="0.25">
      <c r="A290" s="6" t="s">
        <v>267</v>
      </c>
      <c r="B290" s="6">
        <f>0.01*B286</f>
        <v>1.4195</v>
      </c>
      <c r="C290" s="26">
        <v>2</v>
      </c>
    </row>
    <row r="291" spans="1:4" x14ac:dyDescent="0.25">
      <c r="B291" s="6">
        <f>0.02*B286</f>
        <v>2.839</v>
      </c>
      <c r="C291" s="26"/>
      <c r="D291" s="6" t="s">
        <v>268</v>
      </c>
    </row>
    <row r="293" spans="1:4" x14ac:dyDescent="0.25">
      <c r="A293" s="12" t="s">
        <v>269</v>
      </c>
    </row>
    <row r="294" spans="1:4" x14ac:dyDescent="0.25">
      <c r="A294" t="s">
        <v>270</v>
      </c>
      <c r="B294" s="6">
        <v>0</v>
      </c>
    </row>
    <row r="295" spans="1:4" x14ac:dyDescent="0.25">
      <c r="A295" s="6" t="s">
        <v>271</v>
      </c>
      <c r="B295" s="6">
        <f>ROUND(2*B286/(2*(B31+1)),2)</f>
        <v>21.48</v>
      </c>
      <c r="C295" s="6">
        <v>21</v>
      </c>
    </row>
    <row r="296" spans="1:4" x14ac:dyDescent="0.25">
      <c r="A296" t="s">
        <v>272</v>
      </c>
      <c r="B296" s="6">
        <f>C295*B31</f>
        <v>117.81</v>
      </c>
      <c r="C296" s="6">
        <v>118</v>
      </c>
    </row>
    <row r="297" spans="1:4" x14ac:dyDescent="0.25">
      <c r="A297" s="12" t="s">
        <v>273</v>
      </c>
    </row>
    <row r="298" spans="1:4" x14ac:dyDescent="0.25">
      <c r="A298" t="s">
        <v>274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275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276</v>
      </c>
    </row>
    <row r="304" spans="1:4" x14ac:dyDescent="0.25">
      <c r="A304" s="12" t="s">
        <v>277</v>
      </c>
    </row>
    <row r="305" spans="1:3" x14ac:dyDescent="0.25">
      <c r="A305" t="s">
        <v>278</v>
      </c>
      <c r="B305" s="6" t="s">
        <v>279</v>
      </c>
      <c r="C305" s="6" t="s">
        <v>280</v>
      </c>
    </row>
    <row r="306" spans="1:3" x14ac:dyDescent="0.25">
      <c r="B306" s="6">
        <v>0</v>
      </c>
      <c r="C306" s="6">
        <v>0</v>
      </c>
    </row>
    <row r="307" spans="1:3" x14ac:dyDescent="0.25">
      <c r="A307" s="4" t="s">
        <v>281</v>
      </c>
    </row>
    <row r="308" spans="1:3" x14ac:dyDescent="0.25">
      <c r="A308" s="12" t="s">
        <v>282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283</v>
      </c>
    </row>
    <row r="311" spans="1:3" x14ac:dyDescent="0.25">
      <c r="A311" s="6" t="s">
        <v>274</v>
      </c>
      <c r="B311" s="6">
        <f>B309+(B306+C306-0)*C290</f>
        <v>139</v>
      </c>
    </row>
    <row r="312" spans="1:3" x14ac:dyDescent="0.25">
      <c r="A312" s="11" t="s">
        <v>287</v>
      </c>
    </row>
    <row r="313" spans="1:3" x14ac:dyDescent="0.25">
      <c r="A313" s="27" t="s">
        <v>288</v>
      </c>
      <c r="B313" s="6">
        <f>C290*C295/COS(B294)</f>
        <v>42</v>
      </c>
    </row>
    <row r="314" spans="1:3" x14ac:dyDescent="0.25">
      <c r="A314" s="29" t="s">
        <v>289</v>
      </c>
      <c r="B314" s="6">
        <f>C290*C296/COS(B294)</f>
        <v>236</v>
      </c>
    </row>
    <row r="315" spans="1:3" x14ac:dyDescent="0.25">
      <c r="A315" s="11" t="s">
        <v>290</v>
      </c>
    </row>
    <row r="316" spans="1:3" x14ac:dyDescent="0.25">
      <c r="A316" s="6" t="s">
        <v>291</v>
      </c>
      <c r="B316" s="6">
        <f>ROUND(2*B311/(B300+1),2)</f>
        <v>41.99</v>
      </c>
    </row>
    <row r="317" spans="1:3" x14ac:dyDescent="0.25">
      <c r="A317" s="6" t="s">
        <v>292</v>
      </c>
      <c r="B317" s="6">
        <f>ROUND(B316*B300,2)</f>
        <v>235.98</v>
      </c>
    </row>
    <row r="318" spans="1:3" x14ac:dyDescent="0.25">
      <c r="A318" s="30" t="s">
        <v>293</v>
      </c>
    </row>
    <row r="319" spans="1:3" x14ac:dyDescent="0.25">
      <c r="A319" s="6" t="s">
        <v>168</v>
      </c>
      <c r="B319" s="6">
        <f>B313+2*(1+B306-0)*C290</f>
        <v>46</v>
      </c>
    </row>
    <row r="320" spans="1:3" x14ac:dyDescent="0.25">
      <c r="A320" s="27" t="s">
        <v>169</v>
      </c>
      <c r="B320" s="6">
        <f>B314+2*(1+C306-0)*C290</f>
        <v>240</v>
      </c>
    </row>
    <row r="321" spans="1:2" x14ac:dyDescent="0.25">
      <c r="A321" s="28" t="s">
        <v>294</v>
      </c>
    </row>
    <row r="322" spans="1:2" x14ac:dyDescent="0.25">
      <c r="A322" s="27" t="s">
        <v>174</v>
      </c>
      <c r="B322" s="6">
        <f>B313-(2.5-2*B306)*C290</f>
        <v>37</v>
      </c>
    </row>
    <row r="323" spans="1:2" x14ac:dyDescent="0.25">
      <c r="A323" s="27" t="s">
        <v>175</v>
      </c>
      <c r="B323" s="6">
        <f>B314-(2.5-2*C306)*C290</f>
        <v>231</v>
      </c>
    </row>
    <row r="324" spans="1:2" x14ac:dyDescent="0.25">
      <c r="A324" s="28" t="s">
        <v>295</v>
      </c>
    </row>
    <row r="325" spans="1:2" x14ac:dyDescent="0.25">
      <c r="A325" s="27" t="s">
        <v>296</v>
      </c>
      <c r="B325" s="6">
        <f>ROUND(B313*COS(B328),2)</f>
        <v>17.14</v>
      </c>
    </row>
    <row r="326" spans="1:2" x14ac:dyDescent="0.25">
      <c r="A326" s="27" t="s">
        <v>297</v>
      </c>
      <c r="B326" s="6">
        <f>ROUND(B314*COS(B328),2)</f>
        <v>96.31</v>
      </c>
    </row>
    <row r="327" spans="1:2" x14ac:dyDescent="0.25">
      <c r="A327" s="28" t="s">
        <v>298</v>
      </c>
    </row>
    <row r="328" spans="1:2" x14ac:dyDescent="0.25">
      <c r="A328" s="27" t="s">
        <v>299</v>
      </c>
      <c r="B328" s="6">
        <v>20</v>
      </c>
    </row>
    <row r="329" spans="1:2" x14ac:dyDescent="0.25">
      <c r="A329" s="28" t="s">
        <v>300</v>
      </c>
    </row>
    <row r="330" spans="1:2" x14ac:dyDescent="0.25">
      <c r="A330" s="27" t="s">
        <v>301</v>
      </c>
      <c r="B330" s="6">
        <f>DEGREES(ATAN(TAN(RADIANS(B328))/COS(RADIANS(B294))))</f>
        <v>20</v>
      </c>
    </row>
    <row r="331" spans="1:2" x14ac:dyDescent="0.25">
      <c r="A331" s="28" t="s">
        <v>302</v>
      </c>
    </row>
    <row r="332" spans="1:2" x14ac:dyDescent="0.25">
      <c r="A332" s="27" t="s">
        <v>303</v>
      </c>
      <c r="B332">
        <f>DEGREES(ACOS(B309*COS(RADIANS(B330))/B311))</f>
        <v>19.999999999999989</v>
      </c>
    </row>
  </sheetData>
  <mergeCells count="4">
    <mergeCell ref="F90:F100"/>
    <mergeCell ref="C227:C238"/>
    <mergeCell ref="C244:C245"/>
    <mergeCell ref="C290:C29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2026-10-06T04:16:22Z</dcterms:modified>
</cp:coreProperties>
</file>